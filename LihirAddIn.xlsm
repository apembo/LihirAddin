
<file path=[Content_Types].xml><?xml version="1.0" encoding="utf-8"?>
<Types xmlns="http://schemas.openxmlformats.org/package/2006/content-types">
  <Default Extension="bin" ContentType="application/vnd.openxmlformats-officedocument.spreadsheetml.printerSettings"/>
  <Default Extension="bmp" ContentType="image/.bmp"/>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c7dde5bf8bb4119"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y\Dropbox\Code\Excel\09 Develop\LGO Addin\B-Client\"/>
    </mc:Choice>
  </mc:AlternateContent>
  <bookViews>
    <workbookView xWindow="0" yWindow="0" windowWidth="18465" windowHeight="9885" firstSheet="1" activeTab="1"/>
  </bookViews>
  <sheets>
    <sheet name="Parameters" sheetId="1" r:id="rId1"/>
    <sheet name="Ver" sheetId="11" r:id="rId2"/>
    <sheet name="BugTesting" sheetId="13" r:id="rId3"/>
    <sheet name="EgPO's" sheetId="12" r:id="rId4"/>
    <sheet name="BugList" sheetId="9" r:id="rId5"/>
    <sheet name="ToDo" sheetId="7" r:id="rId6"/>
    <sheet name="FreeCanvas" sheetId="8" r:id="rId7"/>
    <sheet name="HelpPartsSearch" sheetId="10" r:id="rId8"/>
  </sheets>
  <functionGroups builtInGroupCount="18"/>
  <definedNames>
    <definedName name="AdamDellE7250_ConnString">Parameters!$C$16</definedName>
    <definedName name="AdamMacbookAir_ConnString">Parameters!$C$12</definedName>
    <definedName name="CCLASHist_ConnString">Parameters!$C$13</definedName>
    <definedName name="DBCCLASServerDefaultID">Parameters!$C$8</definedName>
    <definedName name="DBContractorsServerDefaultID">Parameters!$C$7</definedName>
    <definedName name="DBFinanceServerDefaultID">Parameters!$C$4</definedName>
    <definedName name="DBMaintServerDefaultID">Parameters!$C$3</definedName>
    <definedName name="DBPartsServerDefaultID">Parameters!$C$6</definedName>
    <definedName name="DBPeopleServerDefaultID">Parameters!$C$5</definedName>
    <definedName name="DBPPMSServerDefaultID">Parameters!$C$9</definedName>
    <definedName name="DBPUServerDefaultID">Parameters!$C$2</definedName>
    <definedName name="GenLedgerListingCCFilter">Parameters!$C$17</definedName>
    <definedName name="GenLedgerListingListItem">Parameters!$C$18</definedName>
    <definedName name="Help_PartsSearch">HelpPartsSearch!$A$1:$A$33</definedName>
    <definedName name="LastFLOCUpload">Parameters!$C$19</definedName>
    <definedName name="LastPositionsUpload">Parameters!$C$20</definedName>
    <definedName name="NMLBC0XV32_ConnString">Parameters!$C$10</definedName>
    <definedName name="NMLLHRDEVDB01_ConnString">Parameters!$C$11</definedName>
    <definedName name="PPMSPlant_ConnString">Parameters!$C$14</definedName>
    <definedName name="PPMSPower_ConnString">Parameters!$C$15</definedName>
    <definedName name="SAPColumns_IW29TitleFieldName">#REF!</definedName>
    <definedName name="SAPColumns_IW29TitleStdName">#REF!</definedName>
    <definedName name="SAPColumns_IW39TitleFieldName">#REF!</definedName>
    <definedName name="SAPColumns_IW39TitleStdName">#REF!</definedName>
    <definedName name="SAPColumns_IW49TitleFieldName">#REF!</definedName>
    <definedName name="SAPColumns_IW49TitleStdName">#REF!</definedName>
    <definedName name="SAPColumns_KOB1DBsTitleDBTable">#REF!</definedName>
    <definedName name="SAPColumns_KOB1DBsTitleFieldName">#REF!</definedName>
    <definedName name="SAPColumns_KOB1DBsTitleFieldSize">#REF!</definedName>
    <definedName name="SAPColumns_KOB1DBsTitleFieldType">#REF!</definedName>
    <definedName name="SAPColumns_KOB1DBsTitleNullOk">#REF!</definedName>
    <definedName name="SAPColumns_KOB1DBsTitleStdName">#REF!</definedName>
    <definedName name="SAPColumns_KOB1Title_ColVarFieldName">#REF!</definedName>
    <definedName name="SAPColumns_KOB1Title_ColVarStdName">#REF!</definedName>
    <definedName name="SAPColumns_KOB1TitleAllowBlanks">#REF!</definedName>
    <definedName name="SAPColumns_KOB1TitleCustomHandling">#REF!</definedName>
    <definedName name="SAPColumns_KOB1TitleOptional">#REF!</definedName>
    <definedName name="SAPColumns_KOB1TitleStdName">#REF!</definedName>
    <definedName name="SAPColumns_KOB1TitleType">#REF!</definedName>
    <definedName name="SAPColumns_KOB1TitleTypeSize">#REF!</definedName>
    <definedName name="SAPColumns_KSB1DBsTitleDBTable">#REF!</definedName>
    <definedName name="SAPColumns_KSB1DBsTitleFieldName">#REF!</definedName>
    <definedName name="SAPColumns_KSB1DBsTitleNullOk">#REF!</definedName>
    <definedName name="SAPColumns_KSB1DBsTitleStdName">#REF!</definedName>
    <definedName name="SAPColumns_KSB1Title_ColVarFieldName">#REF!</definedName>
    <definedName name="SAPColumns_KSB1Title_ColVarStdName">#REF!</definedName>
    <definedName name="SAPColumns_KSB1TitleAllowBlanks">#REF!</definedName>
    <definedName name="SAPColumns_KSB1TitleCustomHandling">#REF!</definedName>
    <definedName name="SAPColumns_KSB1TitleFieldSize">#REF!</definedName>
    <definedName name="SAPColumns_KSB1TitleFieldType">#REF!</definedName>
    <definedName name="SAPColumns_KSB1TitleOptional">#REF!</definedName>
    <definedName name="SAPColumns_KSB1TitleStdName">#REF!</definedName>
    <definedName name="SAPColumns_ME2KDBsTitleDBTable">#REF!</definedName>
    <definedName name="SAPColumns_ME2KDBsTitleFieldName">#REF!</definedName>
    <definedName name="SAPColumns_ME2KDBsTitleFieldSize">#REF!</definedName>
    <definedName name="SAPColumns_ME2KDBsTitleFieldType">#REF!</definedName>
    <definedName name="SAPColumns_ME2KDBsTitleNullOk">#REF!</definedName>
    <definedName name="SAPColumns_ME2KDBsTitleStdName">#REF!</definedName>
    <definedName name="SAPColumns_ME2KTitle_ColVarFieldName">#REF!</definedName>
    <definedName name="SAPColumns_ME2KTitle_ColVarStdName">#REF!</definedName>
    <definedName name="SAPColumns_ME2KTitleAllowBlanks">#REF!</definedName>
    <definedName name="SAPColumns_ME2KTitleCustomHandling">#REF!</definedName>
    <definedName name="SAPColumns_ME2KTitleOptional">#REF!</definedName>
    <definedName name="SAPColumns_ME2KTitleStdName">#REF!</definedName>
    <definedName name="SAPColumns_ME2KTitleType">#REF!</definedName>
    <definedName name="SAPColumns_ME2KTitleTypeSize">#REF!</definedName>
    <definedName name="SAPColumns_RangeActions_DBMapping">#REF!</definedName>
    <definedName name="SAPColumns_RangeActions_HeaderVariations">#REF!</definedName>
    <definedName name="SAPColumns_RangeActions_StdFields">#REF!</definedName>
    <definedName name="SAPColumns_RangeBOBs_DBMapping">#REF!</definedName>
    <definedName name="SAPColumns_RangeBOBs_HeaderVariations">#REF!</definedName>
    <definedName name="SAPColumns_RangeBOBs_StdFields">#REF!</definedName>
    <definedName name="SAPColumns_RangeCCMParticipate_DBMapping">#REF!</definedName>
    <definedName name="SAPColumns_RangeCCMParticipate_HeaderVariations">#REF!</definedName>
    <definedName name="SAPColumns_RangeCCMParticipate_StdFields">#REF!</definedName>
    <definedName name="SAPColumns_RangeHazards_DBMapping">#REF!</definedName>
    <definedName name="SAPColumns_RangeHazards_HeaderVariations">#REF!</definedName>
    <definedName name="SAPColumns_RangeHazards_StdFields">#REF!</definedName>
    <definedName name="SAPColumns_RangeIH06_DBMapping">#REF!</definedName>
    <definedName name="SAPColumns_RangeIH06_HeaderVariations">#REF!</definedName>
    <definedName name="SAPColumns_RangeIH06_StdFields">#REF!</definedName>
    <definedName name="SAPColumns_RangeKSB1ColHeaderVariations">#REF!</definedName>
    <definedName name="SAPColumns_RangeKSB1DatabaseMapping">#REF!</definedName>
    <definedName name="SAPColumns_RangeKSB1StdFields">#REF!</definedName>
    <definedName name="SAPColumns_RangeME2K_DBMapping">#REF!</definedName>
    <definedName name="SAPColumns_RangeME2K_HeaderVariations">#REF!</definedName>
    <definedName name="SAPColumns_RangeME2K_StdFields">#REF!</definedName>
    <definedName name="SAPColumns_RangeMKVZ_DBMapping">#REF!</definedName>
    <definedName name="SAPColumns_RangeMKVZ_HeaderVariations">#REF!</definedName>
    <definedName name="SAPColumns_RangeMKVZ_Mapping">#REF!</definedName>
    <definedName name="SAPColumns_RangeMKVZ_StdFields">#REF!</definedName>
    <definedName name="SAPColumns_RangeOrgChart_DBMapping">#REF!</definedName>
    <definedName name="SAPColumns_RangeOrgChart_HeaderVariations">#REF!</definedName>
    <definedName name="SAPColumns_RangeOrgChart_StdFields">#REF!</definedName>
    <definedName name="SAPColumns_RangeSBOs_DBMapping">#REF!</definedName>
    <definedName name="SAPColumns_RangeSBOs_HeaderVariations">#REF!</definedName>
    <definedName name="SAPColumns_RangeSBOs_StdFields">#REF!</definedName>
    <definedName name="SAPColumns_RangeTaskAnalysis_DBMapping">#REF!</definedName>
    <definedName name="SAPColumns_RangeTaskAnalysis_HeaderVariations">#REF!</definedName>
    <definedName name="SAPColumns_RangeTaskAnalysis_StdFields">#REF!</definedName>
    <definedName name="SAPColumns_RangeZFI_CAPEX_SPEND_NEW_DBMapping">#REF!</definedName>
    <definedName name="SAPColumns_RangeZFI_CAPEX_SPEND_NEW_HeaderVariations">#REF!</definedName>
    <definedName name="SAPColumns_RangeZFI_CAPEX_SPEND_NEW_StdFields">#REF!</definedName>
    <definedName name="SAPColumns_RangeZMMPartNo_StdFields">#REF!</definedName>
    <definedName name="SAPColumns_RangeZMMStore_StdFields">#REF!</definedName>
    <definedName name="SAPColumns_RangeZMMStoreStock_StdFields">#REF!</definedName>
    <definedName name="SAPColumns_RangeZMPartNo_HeaderVariations">#REF!</definedName>
    <definedName name="SAPColumns_RangeZMPartNoStock_DBMapping">#REF!</definedName>
    <definedName name="SAPColumns_RangeZMPartNoStockMapping">#REF!</definedName>
    <definedName name="SAPColumns_RangeZMStore_DBMapping">#REF!</definedName>
    <definedName name="SAPColumns_RangeZMStore_HeaderVariations">#REF!</definedName>
    <definedName name="SAPColumns_RangeZMStoreMapping">#REF!</definedName>
    <definedName name="SAPColumns_RangeZMStoreStock_DBMapping">#REF!</definedName>
    <definedName name="SAPColumns_RangeZMStoreStock_HeaderVariations">#REF!</definedName>
    <definedName name="SAPColumns_RangeZMStoreStockMapping">#REF!</definedName>
    <definedName name="Tables_TitleOperationsNo">#REF!</definedName>
    <definedName name="Ver_Description" localSheetId="1">Ver!$B$2</definedName>
    <definedName name="Ver_FileName" localSheetId="1">Ver!$B$1</definedName>
    <definedName name="Ver_Maj" localSheetId="1">Ver!$D$4</definedName>
    <definedName name="Ver_Min" localSheetId="1">Ver!$E$4</definedName>
    <definedName name="Version" localSheetId="1">Ver!$B$4</definedName>
  </definedNames>
  <calcPr calcId="152511"/>
  <pivotCaches>
    <pivotCache cacheId="0" r:id="rId9"/>
  </pivotCaches>
  <extLst>
    <ext xmlns:x14="http://schemas.microsoft.com/office/spreadsheetml/2009/9/main" uri="{8193D73E-4604-4355-AFF4-8A2333D13BE4}">
      <x14:definedNames>
        <x14:definedName name="LihirCCEECostSummary">
          <x14:argumentDescriptions count="4">
            <x14:argumentDescription index="0">Cost Center</x14:argumentDescription>
            <x14:argumentDescription index="1">Financial Year (e.g. 2016 = FY16)</x14:argumentDescription>
            <x14:argumentDescription index="2">Period (Optional). 1 = July, 12 = June.</x14:argumentDescription>
            <x14:argumentDescription index="3">G/L Account (Optional)</x14:argumentDescription>
          </x14:argumentDescriptions>
        </x14:definedName>
        <x14:definedName name="LihirCCEEQtySummary">
          <x14:argumentDescriptions count="4">
            <x14:argumentDescription index="0">Cost Center</x14:argumentDescription>
            <x14:argumentDescription index="1">Financial Year (e.g. 2016 = FY16)</x14:argumentDescription>
            <x14:argumentDescription index="2">Period (Optional). 1 = July, 12 = June.</x14:argumentDescription>
            <x14:argumentDescription index="3">G/L Account (Optional)</x14:argumentDescription>
          </x14:argumentDescriptions>
        </x14:definedName>
        <x14:definedName name="LihirGetLogValue">
          <x14:argumentDescriptions count="3">
            <x14:argumentDescription index="0">String that contains the Object Name (e.g. DG01, Linde)</x14:argumentDescription>
            <x14:argumentDescription index="1">String that contains the object parameter (e.g. %, MW.h)</x14:argumentDescription>
            <x14:argumentDescription index="2">Date/Time of the sample. Most will be midnight</x14:argumentDescription>
          </x14:argumentDescriptions>
        </x14:definedName>
        <x14:definedName name="LihirGetMaintNotifParam">
          <x14:argumentDescriptions count="2">
            <x14:argumentDescription index="0">Parameter name</x14:argumentDescription>
            <x14:argumentDescription index="1">Notification Number</x14:argumentDescription>
          </x14:argumentDescriptions>
        </x14:definedName>
        <x14:definedName name="LihirGetMaintOrderParam">
          <x14:argumentDescriptions count="2">
            <x14:argumentDescription index="0">Parameter name</x14:argumentDescription>
            <x14:argumentDescription index="1">Work order Number</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D9" i="11" l="1"/>
  <c r="D23" i="11"/>
  <c r="D24" i="11"/>
  <c r="D25" i="11"/>
  <c r="D26" i="11"/>
  <c r="D27" i="11"/>
  <c r="D28" i="11"/>
  <c r="D29" i="11"/>
  <c r="D30" i="11"/>
  <c r="D31" i="11"/>
  <c r="D32" i="11"/>
  <c r="D33" i="11"/>
  <c r="D34" i="11"/>
  <c r="D55" i="11" l="1"/>
  <c r="D56" i="11"/>
  <c r="D57" i="11"/>
  <c r="D58" i="11"/>
  <c r="D59" i="11"/>
  <c r="D60" i="11"/>
  <c r="D61" i="11"/>
  <c r="D62" i="11"/>
  <c r="D63" i="11"/>
  <c r="D35" i="11" l="1"/>
  <c r="D36" i="11" s="1"/>
  <c r="D37" i="11" s="1"/>
  <c r="D38" i="11" s="1"/>
  <c r="D39" i="11" s="1"/>
  <c r="D40" i="11" s="1"/>
  <c r="D41" i="11" s="1"/>
  <c r="D42" i="11" s="1"/>
  <c r="D43" i="11" s="1"/>
  <c r="D44" i="11" s="1"/>
  <c r="D45" i="11" s="1"/>
  <c r="D46" i="11" s="1"/>
  <c r="D47" i="11" s="1"/>
  <c r="D48" i="11" s="1"/>
  <c r="D49" i="11" s="1"/>
  <c r="D50" i="11" s="1"/>
  <c r="D51" i="11" s="1"/>
  <c r="D52" i="11" s="1"/>
  <c r="D53" i="11" s="1"/>
  <c r="D54" i="11" s="1"/>
  <c r="D10" i="11"/>
  <c r="D11" i="11" s="1"/>
  <c r="D12" i="11" s="1"/>
  <c r="D13" i="11" s="1"/>
  <c r="D14" i="11" s="1"/>
  <c r="D15" i="11" s="1"/>
  <c r="D16" i="11" s="1"/>
  <c r="D17" i="11" s="1"/>
  <c r="D18" i="11" s="1"/>
  <c r="D19" i="11" s="1"/>
  <c r="D20" i="11" s="1"/>
  <c r="D21" i="11" s="1"/>
  <c r="D22" i="11" s="1"/>
  <c r="D4" i="11" l="1"/>
  <c r="E4" i="11" l="1" a="1"/>
  <c r="E4" i="11" s="1"/>
  <c r="B4" i="11" s="1"/>
  <c r="E11" i="9" l="1"/>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C5" i="9" l="1"/>
  <c r="E5" i="9"/>
  <c r="C6" i="9"/>
  <c r="E6" i="9"/>
  <c r="C7" i="9"/>
  <c r="C10" i="9"/>
  <c r="E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E4" i="9"/>
  <c r="C4" i="9"/>
  <c r="C3" i="9"/>
</calcChain>
</file>

<file path=xl/sharedStrings.xml><?xml version="1.0" encoding="utf-8"?>
<sst xmlns="http://schemas.openxmlformats.org/spreadsheetml/2006/main" count="2524" uniqueCount="776">
  <si>
    <t>Parameter Type</t>
  </si>
  <si>
    <t>Parameter</t>
  </si>
  <si>
    <t>Value</t>
  </si>
  <si>
    <t>Default</t>
  </si>
  <si>
    <t>AdamMacbookAir_ConnString</t>
  </si>
  <si>
    <t>Driver=SQL Server;Server=ADAMMACBOOKAIR;UID=db_configurator;PWD=get_it_right;Database=</t>
  </si>
  <si>
    <t>Name:</t>
  </si>
  <si>
    <t>Date</t>
  </si>
  <si>
    <t>Description</t>
  </si>
  <si>
    <t>DBPUServerDefaultID</t>
  </si>
  <si>
    <t>DBMaintServerDefaultID</t>
  </si>
  <si>
    <t>DBCCLASServerDefaultID</t>
  </si>
  <si>
    <t>DBPPMSServerDefaultID</t>
  </si>
  <si>
    <t>DBServerConnString</t>
  </si>
  <si>
    <t>CCLASHist_ConnString</t>
  </si>
  <si>
    <t>Driver=SQL Server;Server=NMLLHRDB04;Database=LIHIR_CCLAS_CHD</t>
  </si>
  <si>
    <t>Driver=SQLServer;Server=NMLLHRPPMS02;UID=ppms_readonly;PWD=!PPMSUser2011;WSID=ASOILTH6HCZ1S;DATABASE=ProcessMoreProcessing</t>
  </si>
  <si>
    <t>Driver=SQLServer;Server=NMLLHRPPMS02;UID=ppms_readonlyPU;PWD=pplease;WSID=ASOILTH6HCZ1S;DATABASE=ProcessMorePower</t>
  </si>
  <si>
    <t>PPMSPlant_ConnString</t>
  </si>
  <si>
    <t>PPMSPower_ConnString</t>
  </si>
  <si>
    <t>NMLLHRPPMS02</t>
  </si>
  <si>
    <t>NMLLHRDB04</t>
  </si>
  <si>
    <t>AdamDellE7250_ConnString</t>
  </si>
  <si>
    <t>Driver=SQL Server;Server=NML6Y4DM32\SQLEXPRESS;Trusted_Connection=True;Database=</t>
  </si>
  <si>
    <t>Add the Purchasing Doc Item to the general ledger view</t>
  </si>
  <si>
    <t>#</t>
  </si>
  <si>
    <t>What</t>
  </si>
  <si>
    <t>DBFinanceServerDefaultID</t>
  </si>
  <si>
    <t>UserformLastUsed</t>
  </si>
  <si>
    <t>GenLedgerListingCCFilter</t>
  </si>
  <si>
    <t>GenLedgerListingListItem</t>
  </si>
  <si>
    <t>*</t>
  </si>
  <si>
    <t>Status</t>
  </si>
  <si>
    <t>DBPeopleServerDefaultID</t>
  </si>
  <si>
    <t>NMLBC0XV32_ConnString</t>
  </si>
  <si>
    <t>Driver=SQL Server;Server=NMLBC0XV32\SQLEXPRESS;Trusted_Connection=True;Database=</t>
  </si>
  <si>
    <t>Notes</t>
  </si>
  <si>
    <t>Date raised</t>
  </si>
  <si>
    <t>By Whom</t>
  </si>
  <si>
    <t>Date Resolved</t>
  </si>
  <si>
    <t>Org Chart viewer not working since brought across to NMLBC0XV32 database</t>
  </si>
  <si>
    <t>Fixed</t>
  </si>
  <si>
    <t>There wasn't an issue. Just no org unit data in the database</t>
  </si>
  <si>
    <t>IW29 upload not updating user status</t>
  </si>
  <si>
    <t>I think this is going to need a proper conversion to the wrapper class.</t>
  </si>
  <si>
    <t>Need to add financial year to the IW29/IW39 and IW49 tables</t>
  </si>
  <si>
    <t>Not really a bug.</t>
  </si>
  <si>
    <t>Need ability to add roles to org chart positions</t>
  </si>
  <si>
    <t>Search Parts Help</t>
  </si>
  <si>
    <t>Colloquials - Background</t>
  </si>
  <si>
    <t>Search Instructions</t>
  </si>
  <si>
    <t>Overview</t>
  </si>
  <si>
    <t>What is this new search facility in Excel of all places?</t>
  </si>
  <si>
    <t>Most people will agree, the SAP materials search facility leaves a lot to be desired.</t>
  </si>
  <si>
    <t>This is a fairly basic filter. Simply put in words you think might be in the description or long description of the material together with the wildcard (*) character. Order is important.</t>
  </si>
  <si>
    <t>Use this filter to filter by every colloquial in the system.</t>
  </si>
  <si>
    <t>Once you enter 4 characters or more, the program will regularly update the drop down list filtered by what you have entered so far. At anytime you can stop typing and select one of the specific options in the drop-down.</t>
  </si>
  <si>
    <t>If you select a specific option without wild-cards, you'll be limited to materials with that exact colloquial.</t>
  </si>
  <si>
    <r>
      <t xml:space="preserve">Description </t>
    </r>
    <r>
      <rPr>
        <i/>
        <sz val="11"/>
        <color theme="1"/>
        <rFont val="Calibri"/>
        <family val="2"/>
        <scheme val="minor"/>
      </rPr>
      <t>Filter</t>
    </r>
  </si>
  <si>
    <r>
      <t xml:space="preserve">Colloquial 1 </t>
    </r>
    <r>
      <rPr>
        <i/>
        <sz val="11"/>
        <color theme="1"/>
        <rFont val="Calibri"/>
        <family val="2"/>
        <scheme val="minor"/>
      </rPr>
      <t>ComboBox Filter</t>
    </r>
  </si>
  <si>
    <r>
      <t xml:space="preserve">Colloquial 2 </t>
    </r>
    <r>
      <rPr>
        <i/>
        <sz val="11"/>
        <color theme="1"/>
        <rFont val="Calibri"/>
        <family val="2"/>
        <scheme val="minor"/>
      </rPr>
      <t>ComboBox Filter</t>
    </r>
  </si>
  <si>
    <r>
      <t xml:space="preserve">You must enter text in at least the </t>
    </r>
    <r>
      <rPr>
        <b/>
        <sz val="11"/>
        <color theme="1"/>
        <rFont val="Calibri"/>
        <family val="2"/>
        <scheme val="minor"/>
      </rPr>
      <t>Description</t>
    </r>
    <r>
      <rPr>
        <sz val="11"/>
        <color theme="1"/>
        <rFont val="Calibri"/>
        <family val="2"/>
        <scheme val="minor"/>
      </rPr>
      <t xml:space="preserve"> or </t>
    </r>
    <r>
      <rPr>
        <b/>
        <sz val="11"/>
        <color theme="1"/>
        <rFont val="Calibri"/>
        <family val="2"/>
        <scheme val="minor"/>
      </rPr>
      <t>Colloquial 1</t>
    </r>
    <r>
      <rPr>
        <sz val="11"/>
        <color theme="1"/>
        <rFont val="Calibri"/>
        <family val="2"/>
        <scheme val="minor"/>
      </rPr>
      <t xml:space="preserve"> filters.</t>
    </r>
  </si>
  <si>
    <r>
      <t xml:space="preserve">If you use the second colloquial, it's drop-down list will be limited to available colloquials that are on parts that also have colloquials that match the </t>
    </r>
    <r>
      <rPr>
        <b/>
        <sz val="11"/>
        <color theme="1"/>
        <rFont val="Calibri"/>
        <family val="2"/>
        <scheme val="minor"/>
      </rPr>
      <t xml:space="preserve">Colloquial 1 </t>
    </r>
    <r>
      <rPr>
        <sz val="11"/>
        <color theme="1"/>
        <rFont val="Calibri"/>
        <family val="2"/>
        <scheme val="minor"/>
      </rPr>
      <t>filter.</t>
    </r>
  </si>
  <si>
    <t>There is one disadvantage of this database. It will not be live from SAP (atleast not yet). The data may be up to a week old. This is only really relevant for the stock-on-hand number. So make sure to check the "Last Updated" date. If it's too old for your comfort, just jump into SAP.</t>
  </si>
  <si>
    <t>Many materials in SAP have up to 20 colloquial's defined for them. This is especially the case for materials brought across from Ellipse.</t>
  </si>
  <si>
    <r>
      <t xml:space="preserve">As an examples material </t>
    </r>
    <r>
      <rPr>
        <b/>
        <sz val="11"/>
        <color theme="1"/>
        <rFont val="Calibri"/>
        <family val="2"/>
        <scheme val="minor"/>
      </rPr>
      <t>9011788: SCREW:M8,20MM LG,HEX HD,SS316</t>
    </r>
    <r>
      <rPr>
        <sz val="11"/>
        <color theme="1"/>
        <rFont val="Calibri"/>
        <family val="2"/>
        <scheme val="minor"/>
      </rPr>
      <t xml:space="preserve"> has  20 defined colloquials: 'WET END', 'STAINLESS STEEL SETS', 'SS SETSCREW', 'SETSCREW', 'SET SCREW', 'SEAL GUARD SETSCREW', 'SCREW', 'S/STEEL SETSCREW', 'MC SS SETSCREW', 'MC SETSCREW', 'MC 316 SS SETSCREW', 'MC 316 SETSCREW', 'M8 SETSCREW', 'HEXAGON SETSCREW', 'HEXAGON HEAD SETSCRE', 'HEX SETSCREW', 'HEX HEAD SETSCREW', '316 STAINLESS STEEL', '316 SS SETSCREW' and '316 SETSCREW'.</t>
    </r>
  </si>
  <si>
    <t>When you and your colleagues are able to add your own colloquials, this will prove even more powerful.</t>
  </si>
  <si>
    <t>When you have entered all that, click on the Search button.</t>
  </si>
  <si>
    <t>So a new system has been built using a database located on Lihir. This system has or will have the following benefits:</t>
  </si>
  <si>
    <t xml:space="preserve"> - It will be a lot faster (no satellite).</t>
  </si>
  <si>
    <t xml:space="preserve"> - You will be able to add to the database to make it easier for you and others to find the parts in future. Information you will be able to add will include:</t>
  </si>
  <si>
    <t xml:space="preserve"> - The information displayed for a material will be much simpler and easier to find, concentrating on vendor part numbers, storage locations in SAP, stock levels and min/max levels. And of course one or more pictures.</t>
  </si>
  <si>
    <t xml:space="preserve"> - Because the information being put in will be a free-for-all, we should quickly collect lot's of good data. However we will probably get some bad data from when people are having a blonde day. Hence this data will include a rating system.</t>
  </si>
  <si>
    <r>
      <t xml:space="preserve">    + </t>
    </r>
    <r>
      <rPr>
        <sz val="11"/>
        <color theme="1"/>
        <rFont val="Calibri"/>
        <family val="2"/>
        <scheme val="minor"/>
      </rPr>
      <t>Your own description</t>
    </r>
  </si>
  <si>
    <r>
      <t xml:space="preserve">    + </t>
    </r>
    <r>
      <rPr>
        <sz val="11"/>
        <color theme="1"/>
        <rFont val="Calibri"/>
        <family val="2"/>
        <scheme val="minor"/>
      </rPr>
      <t xml:space="preserve">Colloquials - these allow searchs to be sped up based on short (&lt; 50 character words). There is plenty of good data colloquial from the Ellipse days </t>
    </r>
  </si>
  <si>
    <r>
      <t xml:space="preserve">    + </t>
    </r>
    <r>
      <rPr>
        <sz val="11"/>
        <color theme="1"/>
        <rFont val="Calibri"/>
        <family val="2"/>
        <scheme val="minor"/>
      </rPr>
      <t>Pictures</t>
    </r>
  </si>
  <si>
    <t>NMLLHRDEVDB01_ConnString</t>
  </si>
  <si>
    <t>Driver=SQL Server;Server=NMLLHRDEVDB01;Trusted_Connection=True;Database=</t>
  </si>
  <si>
    <t>DBPartsServerDefaultID</t>
  </si>
  <si>
    <t>Uploads lose connection with the server</t>
  </si>
  <si>
    <t>Moderate</t>
  </si>
  <si>
    <t>Need to robustify all code so it includes a retry mechanism.</t>
  </si>
  <si>
    <t>Adam Pemberton</t>
  </si>
  <si>
    <t>Vendor upload not working</t>
  </si>
  <si>
    <t>Bad</t>
  </si>
  <si>
    <t>Add ability to include non-SAP vendors in the vendor table and have a reconciliation when that vendor is created.</t>
  </si>
  <si>
    <t>PwrUtilAddIn</t>
  </si>
  <si>
    <t>Description:</t>
  </si>
  <si>
    <t>General Add-in for database type functions, and whatever else I feel is useful.</t>
  </si>
  <si>
    <t>A
A
A
A</t>
  </si>
  <si>
    <t>Maj</t>
  </si>
  <si>
    <t>Min</t>
  </si>
  <si>
    <t>Current Version:</t>
  </si>
  <si>
    <t>Both values expected to be between the values of 0 and 99 inclusive.</t>
  </si>
  <si>
    <t>Historical Versions</t>
  </si>
  <si>
    <t>FLOC</t>
  </si>
  <si>
    <t>LastFLOCUpload</t>
  </si>
  <si>
    <t>NMLLHRDEVDB01</t>
  </si>
  <si>
    <t>DBContractorsServerDefaultID</t>
  </si>
  <si>
    <t>Positions</t>
  </si>
  <si>
    <t>LastPositionsUpload</t>
  </si>
  <si>
    <t>Search facility for the FLOC Browser</t>
  </si>
  <si>
    <t>Files for parts</t>
  </si>
  <si>
    <t>Parts search on construction types</t>
  </si>
  <si>
    <t xml:space="preserve"> - Main reason for the new major version is that the add-in is now split in 2.</t>
  </si>
  <si>
    <t>Building BOM's</t>
  </si>
  <si>
    <t xml:space="preserve"> - Photo date field was not wide enough to show am/pm</t>
  </si>
  <si>
    <t xml:space="preserve"> - Added the About Button
 - Some cleanup of the Org chart browser, including adding the 'Does Projects' and 'Does Actions' checkboxes, and the associated Update button.</t>
  </si>
  <si>
    <t xml:space="preserve"> - Will attempt to use a separate local spreadsheet for caching the FLOC structure.</t>
  </si>
  <si>
    <t xml:space="preserve"> - Added a comprehensive solution to the parent position update function that also properly manages roles.</t>
  </si>
  <si>
    <t>Display notifications</t>
  </si>
  <si>
    <t>Display Spend summaries</t>
  </si>
  <si>
    <t xml:space="preserve"> - Added search to the FLOC Browser</t>
  </si>
  <si>
    <t>Cost Center</t>
  </si>
  <si>
    <t>4110501101</t>
  </si>
  <si>
    <t>4110422116</t>
  </si>
  <si>
    <t>4110421102</t>
  </si>
  <si>
    <t>4110425116</t>
  </si>
  <si>
    <t>4110501115</t>
  </si>
  <si>
    <t>4500500048</t>
  </si>
  <si>
    <t>4110431101</t>
  </si>
  <si>
    <t>4110422101</t>
  </si>
  <si>
    <t>4110422100</t>
  </si>
  <si>
    <t>4110432103</t>
  </si>
  <si>
    <t>4110501112</t>
  </si>
  <si>
    <t>4110425125</t>
  </si>
  <si>
    <t>4110423104</t>
  </si>
  <si>
    <t>4110405109</t>
  </si>
  <si>
    <t>4110425126</t>
  </si>
  <si>
    <t>4110401100</t>
  </si>
  <si>
    <t>4110421101</t>
  </si>
  <si>
    <t>4110425100</t>
  </si>
  <si>
    <t>4110405102</t>
  </si>
  <si>
    <t>4110501105</t>
  </si>
  <si>
    <t>4110421106</t>
  </si>
  <si>
    <t>4110501108</t>
  </si>
  <si>
    <t>4110501131</t>
  </si>
  <si>
    <t>Purchasing Document</t>
  </si>
  <si>
    <t>Purchasing Doc. Type</t>
  </si>
  <si>
    <t>Purch. Doc. Category</t>
  </si>
  <si>
    <t>Purchasing Group</t>
  </si>
  <si>
    <t>Document Date</t>
  </si>
  <si>
    <t>Vendor/supplying plant</t>
  </si>
  <si>
    <t>Item Category</t>
  </si>
  <si>
    <t>4500500009</t>
  </si>
  <si>
    <t>NB</t>
  </si>
  <si>
    <t>F</t>
  </si>
  <si>
    <t>303</t>
  </si>
  <si>
    <t>106497     LIHIR CIVIL &amp; CONSTRUCTION LTD</t>
  </si>
  <si>
    <t>D</t>
  </si>
  <si>
    <t/>
  </si>
  <si>
    <t>4500500010</t>
  </si>
  <si>
    <t>301</t>
  </si>
  <si>
    <t>108647     HASTINGS DEERING VHI (PNG) LTD</t>
  </si>
  <si>
    <t>4500500018</t>
  </si>
  <si>
    <t>302</t>
  </si>
  <si>
    <t>100338     J BLACKWOODS &amp; SON PTY LTD</t>
  </si>
  <si>
    <t>109946     NEXUS ENGINEERING SOLUTIONS</t>
  </si>
  <si>
    <t>4500500062</t>
  </si>
  <si>
    <t>106212     LIHIR AUTO SERVICES (ELA MOTORS)</t>
  </si>
  <si>
    <t>4500500063</t>
  </si>
  <si>
    <t>101509     KONECRANES PTY LTD</t>
  </si>
  <si>
    <t>4500500068</t>
  </si>
  <si>
    <t>104861     TAIT ELECTRONICS (AUST) PTY LTD</t>
  </si>
  <si>
    <t>4500500092</t>
  </si>
  <si>
    <t>4500500101</t>
  </si>
  <si>
    <t>4500500102</t>
  </si>
  <si>
    <t>4500500105</t>
  </si>
  <si>
    <t>4500500107</t>
  </si>
  <si>
    <t>106476     PLACEMENTS SOLBOW JOINT VENTURE</t>
  </si>
  <si>
    <t>4500500112</t>
  </si>
  <si>
    <t>4500500115</t>
  </si>
  <si>
    <t>106248     HASTINGS DEERING (PNG) (LIHIR NON-V</t>
  </si>
  <si>
    <t>4500500118</t>
  </si>
  <si>
    <t>4500500121</t>
  </si>
  <si>
    <t>306</t>
  </si>
  <si>
    <t>106612     OPTIMUM CONTROL PTY LIMITED</t>
  </si>
  <si>
    <t>4500500123</t>
  </si>
  <si>
    <t>4500500126</t>
  </si>
  <si>
    <t>4500500127</t>
  </si>
  <si>
    <t>102157     PRICE WATERHOUSE COOPERS</t>
  </si>
  <si>
    <t>4110501100</t>
  </si>
  <si>
    <t>4500500130</t>
  </si>
  <si>
    <t>106971     SUN ENGINEERING (QLD) P/L</t>
  </si>
  <si>
    <t>4500500131</t>
  </si>
  <si>
    <t>107515     LIHIR BUSINESS SERVICES LTD</t>
  </si>
  <si>
    <t>4500500135</t>
  </si>
  <si>
    <t>100984     MRC GLOBAL AUSTRALIA PTY LTD</t>
  </si>
  <si>
    <t>4500500136</t>
  </si>
  <si>
    <t>107597     THINK VISUAL P/L</t>
  </si>
  <si>
    <t>4500500137</t>
  </si>
  <si>
    <t>102403     SEW - EURODRIVE PTY LTD</t>
  </si>
  <si>
    <t>4500500138</t>
  </si>
  <si>
    <t>4500500139</t>
  </si>
  <si>
    <t>4500500141</t>
  </si>
  <si>
    <t>4500500142</t>
  </si>
  <si>
    <t>4500500143</t>
  </si>
  <si>
    <t>4500500144</t>
  </si>
  <si>
    <t>4500500146</t>
  </si>
  <si>
    <t>106481     EXPAC QLD PTY LTD UNIT TRUST</t>
  </si>
  <si>
    <t>4500500149</t>
  </si>
  <si>
    <t>4500500155</t>
  </si>
  <si>
    <t>4500500164</t>
  </si>
  <si>
    <t>4500500165</t>
  </si>
  <si>
    <t>1          DIWAI PACIFIC LIMITED</t>
  </si>
  <si>
    <t>4500500166</t>
  </si>
  <si>
    <t>4500500167</t>
  </si>
  <si>
    <t>4500500168</t>
  </si>
  <si>
    <t>4500500169</t>
  </si>
  <si>
    <t>4500500170</t>
  </si>
  <si>
    <t>4500500186</t>
  </si>
  <si>
    <t>4500500187</t>
  </si>
  <si>
    <t>4500500188</t>
  </si>
  <si>
    <t>4500500189</t>
  </si>
  <si>
    <t>4500500190</t>
  </si>
  <si>
    <t>4500500191</t>
  </si>
  <si>
    <t>4500500192</t>
  </si>
  <si>
    <t>4500500193</t>
  </si>
  <si>
    <t>4500500194</t>
  </si>
  <si>
    <t>4500500196</t>
  </si>
  <si>
    <t>106929     SEACUP AGENCIES LTD</t>
  </si>
  <si>
    <t>4500500197</t>
  </si>
  <si>
    <t>106096     PLUMTRADE P/L</t>
  </si>
  <si>
    <t>4500500199</t>
  </si>
  <si>
    <t>102811     WARTSILA AUSTRALIA PTY LTD</t>
  </si>
  <si>
    <t>4500500201</t>
  </si>
  <si>
    <t>104691     HASTINGS DEERING AUSTRALIA LTD</t>
  </si>
  <si>
    <t>4500500205</t>
  </si>
  <si>
    <t>109795     BRAY CONTROLS PACIFIC PTY LTD</t>
  </si>
  <si>
    <t>4500500206</t>
  </si>
  <si>
    <t>104928     JOY GLOBAL (AUS) SURFACE PTY LTD</t>
  </si>
  <si>
    <t>4500500208</t>
  </si>
  <si>
    <t>106576     FINLAY SCREENING &amp; CRUSHING</t>
  </si>
  <si>
    <t>4500500209</t>
  </si>
  <si>
    <t>4500500212</t>
  </si>
  <si>
    <t>4500500216</t>
  </si>
  <si>
    <t>102014     PALL AUSTRALIA PTY LTD</t>
  </si>
  <si>
    <t>4110423105</t>
  </si>
  <si>
    <t>4500500217</t>
  </si>
  <si>
    <t>4110403102</t>
  </si>
  <si>
    <t>4500500219</t>
  </si>
  <si>
    <t>107586     CMP AUSTRALIA PTY LIMITED</t>
  </si>
  <si>
    <t>4500500220</t>
  </si>
  <si>
    <t>4500500230</t>
  </si>
  <si>
    <t>109604     MKI</t>
  </si>
  <si>
    <t>4500500243</t>
  </si>
  <si>
    <t>108395     FGS COMPOSITES P/L</t>
  </si>
  <si>
    <t>4500500245</t>
  </si>
  <si>
    <t>100764     DELL AUSTRALIA PTY LTD</t>
  </si>
  <si>
    <t>4500500253</t>
  </si>
  <si>
    <t>4500500258</t>
  </si>
  <si>
    <t>4500500259</t>
  </si>
  <si>
    <t>4500500270</t>
  </si>
  <si>
    <t>4500500271</t>
  </si>
  <si>
    <t>4500500272</t>
  </si>
  <si>
    <t>4500500281</t>
  </si>
  <si>
    <t>107234     BRISBANE ISUZU</t>
  </si>
  <si>
    <t>4500500291</t>
  </si>
  <si>
    <t>4500500292</t>
  </si>
  <si>
    <t>4500500310</t>
  </si>
  <si>
    <t>108221     NIUGINI LINK PTY LTD</t>
  </si>
  <si>
    <t>4500500326</t>
  </si>
  <si>
    <t>101154     FLSMIDTH PTY LTD</t>
  </si>
  <si>
    <t>4500500332</t>
  </si>
  <si>
    <t>4500500348</t>
  </si>
  <si>
    <t>4500500385</t>
  </si>
  <si>
    <t>4500500387</t>
  </si>
  <si>
    <t>107284     HIP POCKET WORKWEAR &amp; SAFETY LTD</t>
  </si>
  <si>
    <t>4500500389</t>
  </si>
  <si>
    <t>4500500390</t>
  </si>
  <si>
    <t>4500500391</t>
  </si>
  <si>
    <t>4110401107</t>
  </si>
  <si>
    <t>4500500392</t>
  </si>
  <si>
    <t>4500500406</t>
  </si>
  <si>
    <t>106536     ANITUA RADIAL DRILLING SERV LTD</t>
  </si>
  <si>
    <t>4500500411</t>
  </si>
  <si>
    <t>4500500414</t>
  </si>
  <si>
    <t>106830     LIHIR CONTRACTING SERVICES</t>
  </si>
  <si>
    <t>4500500422</t>
  </si>
  <si>
    <t>4500500424</t>
  </si>
  <si>
    <t>4500500429</t>
  </si>
  <si>
    <t>4500500447</t>
  </si>
  <si>
    <t>4500500455</t>
  </si>
  <si>
    <t>4500500456</t>
  </si>
  <si>
    <t>4500500457</t>
  </si>
  <si>
    <t>4500500458</t>
  </si>
  <si>
    <t>4500500467</t>
  </si>
  <si>
    <t>106822     ANITUA HARDWARE LTD</t>
  </si>
  <si>
    <t>4500500492</t>
  </si>
  <si>
    <t>4500500502</t>
  </si>
  <si>
    <t>4500500503</t>
  </si>
  <si>
    <t>4500500508</t>
  </si>
  <si>
    <t>4500500529</t>
  </si>
  <si>
    <t>101233     HARTAC SALES &amp; DISTRIBUTION PTY LTD</t>
  </si>
  <si>
    <t>4500500537</t>
  </si>
  <si>
    <t>4500500550</t>
  </si>
  <si>
    <t>4500500551</t>
  </si>
  <si>
    <t>4500500552</t>
  </si>
  <si>
    <t>106442     PIRTEK TOWNSVILLE P/L</t>
  </si>
  <si>
    <t>4500500553</t>
  </si>
  <si>
    <t>4500500556</t>
  </si>
  <si>
    <t>1          PHYMING SOUNDZ MEDIA LTD</t>
  </si>
  <si>
    <t>4500500562</t>
  </si>
  <si>
    <t>106107     RABAUL METAL INDUSTRIES</t>
  </si>
  <si>
    <t>4500500565</t>
  </si>
  <si>
    <t>4500500575</t>
  </si>
  <si>
    <t>108599     NATIONWIDE SCAFFOLDING SERVICES</t>
  </si>
  <si>
    <t>4500500578</t>
  </si>
  <si>
    <t>4500500580</t>
  </si>
  <si>
    <t>4110501118</t>
  </si>
  <si>
    <t>4500500586</t>
  </si>
  <si>
    <t>4500500587</t>
  </si>
  <si>
    <t>4500500593</t>
  </si>
  <si>
    <t>4500500598</t>
  </si>
  <si>
    <t>102910     WORLEYPARSONS SERVICES PTY LTD</t>
  </si>
  <si>
    <t>4500500600</t>
  </si>
  <si>
    <t>4500500645</t>
  </si>
  <si>
    <t>4500500649</t>
  </si>
  <si>
    <t>4500500650</t>
  </si>
  <si>
    <t>4500500651</t>
  </si>
  <si>
    <t>4500500652</t>
  </si>
  <si>
    <t>4500500660</t>
  </si>
  <si>
    <t>4500500661</t>
  </si>
  <si>
    <t>4500500662</t>
  </si>
  <si>
    <t>4500500663</t>
  </si>
  <si>
    <t>4500500664</t>
  </si>
  <si>
    <t>4500500665</t>
  </si>
  <si>
    <t>4500500670</t>
  </si>
  <si>
    <t>4500500680</t>
  </si>
  <si>
    <t>4500500682</t>
  </si>
  <si>
    <t>4500500691</t>
  </si>
  <si>
    <t>4500500715</t>
  </si>
  <si>
    <t>4500500716</t>
  </si>
  <si>
    <t>4500500744</t>
  </si>
  <si>
    <t>107334     WATTYL</t>
  </si>
  <si>
    <t>4500500745</t>
  </si>
  <si>
    <t>4500500757</t>
  </si>
  <si>
    <t>106859     PNG HUMAN RESOURCE INSTITUTE INC</t>
  </si>
  <si>
    <t>4110501123</t>
  </si>
  <si>
    <t>4500500765</t>
  </si>
  <si>
    <t>4500500766</t>
  </si>
  <si>
    <t>4110425129</t>
  </si>
  <si>
    <t>4500500768</t>
  </si>
  <si>
    <t>4500500796</t>
  </si>
  <si>
    <t>4500500800</t>
  </si>
  <si>
    <t>4500500801</t>
  </si>
  <si>
    <t>4500500802</t>
  </si>
  <si>
    <t>4500500803</t>
  </si>
  <si>
    <t>4500500804</t>
  </si>
  <si>
    <t>4500500805</t>
  </si>
  <si>
    <t>4500500810</t>
  </si>
  <si>
    <t>4500500811</t>
  </si>
  <si>
    <t>102612     TEREX AUSTRALIA T/A TEREX JAQUES</t>
  </si>
  <si>
    <t>4500500821</t>
  </si>
  <si>
    <t>4500500822</t>
  </si>
  <si>
    <t>4500500823</t>
  </si>
  <si>
    <t>4500500825</t>
  </si>
  <si>
    <t>4500500827</t>
  </si>
  <si>
    <t>107031     PROCUREIT AUSTRALIA PTY LTD</t>
  </si>
  <si>
    <t>4500500828</t>
  </si>
  <si>
    <t>107696     HAYMANS ELECTRICAL</t>
  </si>
  <si>
    <t>4500500839</t>
  </si>
  <si>
    <t>108430     SETCH DESIGN PTY LTD</t>
  </si>
  <si>
    <t>4110423106</t>
  </si>
  <si>
    <t>4500500848</t>
  </si>
  <si>
    <t>4500500866</t>
  </si>
  <si>
    <t>102270     REXEL INDUSTRIAL AUTOMATION</t>
  </si>
  <si>
    <t>4500500869</t>
  </si>
  <si>
    <t>102301     ROCKLABS LTD</t>
  </si>
  <si>
    <t>4500500873</t>
  </si>
  <si>
    <t>4500500875</t>
  </si>
  <si>
    <t>4500500876</t>
  </si>
  <si>
    <t>4500500878</t>
  </si>
  <si>
    <t>4500500883</t>
  </si>
  <si>
    <t>4500500884</t>
  </si>
  <si>
    <t>4500500893</t>
  </si>
  <si>
    <t>4500500897</t>
  </si>
  <si>
    <t>4500500902</t>
  </si>
  <si>
    <t>108885     GENIE AUSTRALIA</t>
  </si>
  <si>
    <t>4500500912</t>
  </si>
  <si>
    <t>4500500914</t>
  </si>
  <si>
    <t>4500500916</t>
  </si>
  <si>
    <t>4500500924</t>
  </si>
  <si>
    <t>107131     JENNINGS PARTS COMPANY</t>
  </si>
  <si>
    <t>4500500925</t>
  </si>
  <si>
    <t>4500500927</t>
  </si>
  <si>
    <t>4500500940</t>
  </si>
  <si>
    <t>4500500960</t>
  </si>
  <si>
    <t>4500500961</t>
  </si>
  <si>
    <t>4500500967</t>
  </si>
  <si>
    <t>4500500968</t>
  </si>
  <si>
    <t>4500500970</t>
  </si>
  <si>
    <t>4500500971</t>
  </si>
  <si>
    <t>4500500973</t>
  </si>
  <si>
    <t>4500500974</t>
  </si>
  <si>
    <t>4500500975</t>
  </si>
  <si>
    <t>4500500976</t>
  </si>
  <si>
    <t>4500500977</t>
  </si>
  <si>
    <t>4500500980</t>
  </si>
  <si>
    <t>4500500982</t>
  </si>
  <si>
    <t>4500500983</t>
  </si>
  <si>
    <t>4110401102</t>
  </si>
  <si>
    <t>4500500984</t>
  </si>
  <si>
    <t>4500500987</t>
  </si>
  <si>
    <t>4500500992</t>
  </si>
  <si>
    <t>4500500996</t>
  </si>
  <si>
    <t>106063     CNW PTY LTD</t>
  </si>
  <si>
    <t>4500501026</t>
  </si>
  <si>
    <t>100434     BUREAU VERITAS (AIRS) AUST PTY LTD</t>
  </si>
  <si>
    <t>4500501029</t>
  </si>
  <si>
    <t>4500501030</t>
  </si>
  <si>
    <t>4500501038</t>
  </si>
  <si>
    <t>4500501041</t>
  </si>
  <si>
    <t>4500501054</t>
  </si>
  <si>
    <t>4500501080</t>
  </si>
  <si>
    <t>4500501110</t>
  </si>
  <si>
    <t>4110401110</t>
  </si>
  <si>
    <t>4500501111</t>
  </si>
  <si>
    <t>4500501116</t>
  </si>
  <si>
    <t>4500501129</t>
  </si>
  <si>
    <t>4500501130</t>
  </si>
  <si>
    <t>4500501174</t>
  </si>
  <si>
    <t>304</t>
  </si>
  <si>
    <t>109796     CALDERA ENGINEERING</t>
  </si>
  <si>
    <t>4500501181</t>
  </si>
  <si>
    <t>102529     STIRLINGS AUSTRALIA</t>
  </si>
  <si>
    <t>4500501187</t>
  </si>
  <si>
    <t>106129     AKZO NOBEL LTD</t>
  </si>
  <si>
    <t>4500501188</t>
  </si>
  <si>
    <t>108082     MHE-DEMAG (S) P/L</t>
  </si>
  <si>
    <t>4500501194</t>
  </si>
  <si>
    <t>4500501195</t>
  </si>
  <si>
    <t>4500501196</t>
  </si>
  <si>
    <t>4500501197</t>
  </si>
  <si>
    <t>4500501202</t>
  </si>
  <si>
    <t>4500501209</t>
  </si>
  <si>
    <t>4500501240</t>
  </si>
  <si>
    <t>4500501253</t>
  </si>
  <si>
    <t>4500501255</t>
  </si>
  <si>
    <t>109257     JACKSON &amp; JACKSON REFRIGERATION</t>
  </si>
  <si>
    <t>4500501256</t>
  </si>
  <si>
    <t>107103     ATLAS STEELS</t>
  </si>
  <si>
    <t>4500501260</t>
  </si>
  <si>
    <t>104900     ALIVA PTY LTD</t>
  </si>
  <si>
    <t>4500501261</t>
  </si>
  <si>
    <t>109873     AVANTIX</t>
  </si>
  <si>
    <t>4500501262</t>
  </si>
  <si>
    <t>4500501263</t>
  </si>
  <si>
    <t>4500501264</t>
  </si>
  <si>
    <t>4500501265</t>
  </si>
  <si>
    <t>101721     METSO AUSTRALIA LIMITED</t>
  </si>
  <si>
    <t>4500501266</t>
  </si>
  <si>
    <t>4500501268</t>
  </si>
  <si>
    <t>4500501275</t>
  </si>
  <si>
    <t>4500501276</t>
  </si>
  <si>
    <t>4500501277</t>
  </si>
  <si>
    <t>4500501278</t>
  </si>
  <si>
    <t>4500501279</t>
  </si>
  <si>
    <t>4500501280</t>
  </si>
  <si>
    <t>4500501287</t>
  </si>
  <si>
    <t>4500501288</t>
  </si>
  <si>
    <t>4500501293</t>
  </si>
  <si>
    <t>4500501296</t>
  </si>
  <si>
    <t>108434     PENNRAM DIVERSIFIED MANUF. CORP</t>
  </si>
  <si>
    <t>4500501300</t>
  </si>
  <si>
    <t>104283     GOOD VIBRATIONS SENSORS P/L</t>
  </si>
  <si>
    <t>4500501304</t>
  </si>
  <si>
    <t>106699     FASTAIR SERVICES PTY LTD</t>
  </si>
  <si>
    <t>4500501328</t>
  </si>
  <si>
    <t>4500501330</t>
  </si>
  <si>
    <t>4500501332</t>
  </si>
  <si>
    <t>108307     MSC SERVICE &amp; SPARES PTY LTD</t>
  </si>
  <si>
    <t>4500501338</t>
  </si>
  <si>
    <t>4500501339</t>
  </si>
  <si>
    <t>4500501341</t>
  </si>
  <si>
    <t>4500501342</t>
  </si>
  <si>
    <t>4500501343</t>
  </si>
  <si>
    <t>4500501346</t>
  </si>
  <si>
    <t>4500501355</t>
  </si>
  <si>
    <t>4500501357</t>
  </si>
  <si>
    <t>4500501359</t>
  </si>
  <si>
    <t>4500501363</t>
  </si>
  <si>
    <t>4500501364</t>
  </si>
  <si>
    <t>4500501366</t>
  </si>
  <si>
    <t>4500501367</t>
  </si>
  <si>
    <t>Row Labels</t>
  </si>
  <si>
    <t>Grand Total</t>
  </si>
  <si>
    <t>Count of Cost Center</t>
  </si>
  <si>
    <t xml:space="preserve"> - Adding search and display Purchase Orders.
 - Now saves the add-in on change of DB Server
 - FLOC Browser silently saves and then closes the FLOC cache spreadsheet instead of prompting.</t>
  </si>
  <si>
    <t>PartnerObjects</t>
  </si>
  <si>
    <t xml:space="preserve"> - Suppressed screen updating and calculations for the finance upload function to try and improve speed
 - Cleaned up the PO search, got tab order right, added a material search to the catalogue option.
 - Sorted out some bugs with bad fields causing non-display.
 - Now displays the GL/account
 - Got the "Last Updated" indication working</t>
  </si>
  <si>
    <t>Feature</t>
  </si>
  <si>
    <t>Area</t>
  </si>
  <si>
    <t>Test</t>
  </si>
  <si>
    <t>About</t>
  </si>
  <si>
    <t>Version etc</t>
  </si>
  <si>
    <t>Press button</t>
  </si>
  <si>
    <t>Pass</t>
  </si>
  <si>
    <t>Result</t>
  </si>
  <si>
    <t>Comment</t>
  </si>
  <si>
    <t>People &amp; Safety</t>
  </si>
  <si>
    <t>Finance</t>
  </si>
  <si>
    <t>PO Search</t>
  </si>
  <si>
    <t>Make sure listbox containing search results, has the ColumnHeads property set to false (hidden).</t>
  </si>
  <si>
    <t xml:space="preserve"> - Added the PO Description update button functionality.</t>
  </si>
  <si>
    <t>Purch. Ord</t>
  </si>
  <si>
    <t>Item</t>
  </si>
  <si>
    <t>Creation Date</t>
  </si>
  <si>
    <t>Net Price</t>
  </si>
  <si>
    <t>Still to be Delivered</t>
  </si>
  <si>
    <t>Blast And Paint 1 x Air Reciever</t>
  </si>
  <si>
    <t>Tramp Metal Removal Upgrade Footings</t>
  </si>
  <si>
    <t>Blasting &amp; Painting of canopy frames</t>
  </si>
  <si>
    <t>PSL BP2455 rev2 Blast/Paint GW72 platfor</t>
  </si>
  <si>
    <t>PSL BP2466 rev2 Waterblast 30MW dump v/v</t>
  </si>
  <si>
    <t>Blast/Paint DG11 CAC Hsg PSL BP 2470</t>
  </si>
  <si>
    <t>External Coating TK202</t>
  </si>
  <si>
    <t>PSL BP2465 Abrasive Blast Int&amp;Ext of Isl</t>
  </si>
  <si>
    <t>Plant-Excavator hire</t>
  </si>
  <si>
    <t>PSJV#1931 IPS Barge Compressor start air</t>
  </si>
  <si>
    <t>PSJV 2261F Blast/Paint 2x dredge pump tr</t>
  </si>
  <si>
    <t>Supply of labour Plant &amp; equipment</t>
  </si>
  <si>
    <t>Excavator Hire - Project# 0282</t>
  </si>
  <si>
    <t>Waterblasting Internal Of GT002</t>
  </si>
  <si>
    <t>CR2 JAW OCT 2016 PSJV REFUELLING COSTS</t>
  </si>
  <si>
    <t>PSJV#1929 IPS install pumps &amp; pipework</t>
  </si>
  <si>
    <t>Waterblasting External of TK101</t>
  </si>
  <si>
    <t>PSJV labour hire to warehouse works</t>
  </si>
  <si>
    <t>Un-block Road 7 Drainage</t>
  </si>
  <si>
    <t>Construct Concrete Slab - PSJV</t>
  </si>
  <si>
    <t>Dig Trench To Lay Polypipe .</t>
  </si>
  <si>
    <t>Descaling Presoak line Column 2</t>
  </si>
  <si>
    <t>Operational Sustainable Maintenance</t>
  </si>
  <si>
    <t>PSJV#1921REV1-GPS pedestrian Management</t>
  </si>
  <si>
    <t>Degreasing &amp; Water Blasting V/v &amp; motors</t>
  </si>
  <si>
    <t>Glass Bead Blasting S/S Spool &amp; Tubes</t>
  </si>
  <si>
    <t>Compressor Hire and Refueling Services</t>
  </si>
  <si>
    <t>De-scaling Supervisor Beroa</t>
  </si>
  <si>
    <t>Abrasive Blasting and Painting Allowance</t>
  </si>
  <si>
    <t>Degreasing &amp; Water Blasting Ext. of AC2</t>
  </si>
  <si>
    <t>De-scaling AC002 Feed Lines</t>
  </si>
  <si>
    <t>PSJV#892Rev 1- IPS rubbish bund new roof</t>
  </si>
  <si>
    <t>PSJV BP 2374/Degrease ,hand prepare &amp; pa</t>
  </si>
  <si>
    <t>PSJV BP 2437-Cleaning &amp; Painting Interna</t>
  </si>
  <si>
    <t>PSJV Labour &amp; Equipment hire</t>
  </si>
  <si>
    <t>Concrete For ISN Screen Rebuild Facility</t>
  </si>
  <si>
    <t>Hire of backhoe- (Excavator)</t>
  </si>
  <si>
    <t>PSJV - Baywatch concrete slab</t>
  </si>
  <si>
    <t>Blast Internal Air Sparges</t>
  </si>
  <si>
    <t>Blasting &amp; Coat Internal of TK 45</t>
  </si>
  <si>
    <t>Sand blast &amp; Paint air receiver</t>
  </si>
  <si>
    <t>PSJV#1916-DPS electrical workshop</t>
  </si>
  <si>
    <t>CR1 SEPT 2016 PSJV CRUSHER BLAST COST</t>
  </si>
  <si>
    <t>CR1 SEPT 2016 PSJV CH005 BLAST COST</t>
  </si>
  <si>
    <t>CR1 SEPT 2016 PSJV REFUELING COST</t>
  </si>
  <si>
    <t>Rat out &amp; Clear Sparged Pipes</t>
  </si>
  <si>
    <t>Clean Out Feed Bin - FGO mill</t>
  </si>
  <si>
    <t>Plant &amp; Labour to wash out concrete pump</t>
  </si>
  <si>
    <t>Excavate drain beside road 4</t>
  </si>
  <si>
    <t>Weir box Backhoe hire - Ref:016.16ak</t>
  </si>
  <si>
    <t>Caustic Tank Valves Scaffold hire</t>
  </si>
  <si>
    <t>Blast &amp; Paint PV016 Bottom Nozzle</t>
  </si>
  <si>
    <t>Blast &amp; Paint PV016 FlowMtrQuench Vessel</t>
  </si>
  <si>
    <t>Blast &amp; Paint PV016 N5 Nozzle</t>
  </si>
  <si>
    <t>Touch up top PV016 sec.AC01 Flash Vessel</t>
  </si>
  <si>
    <t>Blast &amp; Paint SR001 Bottom sec.Vent.Scru</t>
  </si>
  <si>
    <t>Hire of Back Hoe &amp; Mini Excavator</t>
  </si>
  <si>
    <t>PSLBP2425 Clean Internal&amp;Tubes Easteel 2</t>
  </si>
  <si>
    <t>Change Out Worn Roof For CM2591_PSJV</t>
  </si>
  <si>
    <t>Remove bracing paint and insta brace</t>
  </si>
  <si>
    <t>HGO1 AUG 2016 PSJV BLAST MANNING COSTS</t>
  </si>
  <si>
    <t>HGO2 AUG 2016 PSJV BLAST MANNING COSTS</t>
  </si>
  <si>
    <t>FGO AUG 2016 PSJV BLAST MANNING COSTS</t>
  </si>
  <si>
    <t>Painting Handrail AC as directed</t>
  </si>
  <si>
    <t>Day works mini excavator hire</t>
  </si>
  <si>
    <t>PSJV #1889-DPS HFO day tank scaffold</t>
  </si>
  <si>
    <t>PSJV # 1808-Install bollards and chain a</t>
  </si>
  <si>
    <t>PSJV#1888 Replace Roof 11kv/33kv 1790-SS</t>
  </si>
  <si>
    <t>PSL BP2393 W/Blast &amp; Clean GPS TX Bunker</t>
  </si>
  <si>
    <t>Descale AC 2&amp; 3 sparges</t>
  </si>
  <si>
    <t>Clear PU2060 disch.line to TK2043</t>
  </si>
  <si>
    <t>CONSTRUCTION OF BUSINESS SUPPORT OFFICE</t>
  </si>
  <si>
    <t>PSJV#1866 Replace Demin plant multimedi</t>
  </si>
  <si>
    <t>PSJV#1884 IPS Wartsila tool storage cont</t>
  </si>
  <si>
    <t>PSJV#1881 Foam Tank Shed – Replace Roof</t>
  </si>
  <si>
    <t>PSJV#1874 72MW Tutt Bryant 100t hydrauli</t>
  </si>
  <si>
    <t>PSJV Labour Plant equipment  &amp; materials</t>
  </si>
  <si>
    <t>PSJV Pressure Clean Tails Hopper NCA 2</t>
  </si>
  <si>
    <t>NCA 2 Overflow Descaling</t>
  </si>
  <si>
    <t>TPS  - 6 x AIR COMPRESSOR HIRE - PSJV</t>
  </si>
  <si>
    <t>TPS  - 2 x AIR COMPRESSOE HIRE - PSJV</t>
  </si>
  <si>
    <t>EQUIPMENT HIRE</t>
  </si>
  <si>
    <t>Water Blaster - Lime mills</t>
  </si>
  <si>
    <t>PSJV Labour &amp; Plant equipment</t>
  </si>
  <si>
    <t>Quote no PSJV BP 2408-Water blasting &amp; P</t>
  </si>
  <si>
    <t>PSJV #1876-Excavate and locate leak in I</t>
  </si>
  <si>
    <t>PSJV # 1807-Fabricate, Paint and Install</t>
  </si>
  <si>
    <t>PSL BP2389 Waterblast&amp;Hand Power Tool</t>
  </si>
  <si>
    <t>PSL BP2386 Spot Abrasive Blasting &amp; Sect</t>
  </si>
  <si>
    <t>PSJV Veh Hire Top up May Inv 11065</t>
  </si>
  <si>
    <t>PSJV#1869 TPS DPS DBB installation for c</t>
  </si>
  <si>
    <t>DPS compressed air tie in</t>
  </si>
  <si>
    <t>PSJV #1913-completion of start airline t</t>
  </si>
  <si>
    <t>Containment Pond Windows</t>
  </si>
  <si>
    <t>PSJV#1871 Rev 1 Replace rusted/damaged f</t>
  </si>
  <si>
    <t>PSJV #1870_Clear up 11KV &amp; steam line</t>
  </si>
  <si>
    <t>Containment Pond Clean - out</t>
  </si>
  <si>
    <t>Replace Corroded AC1/2 Grating_PSJV</t>
  </si>
  <si>
    <t>Erect Iglo canopy at the EPD laydown</t>
  </si>
  <si>
    <t>AC1 PSJV MANNING COST</t>
  </si>
  <si>
    <t>PSJV_Fabricate Turbo Charger Stands</t>
  </si>
  <si>
    <t>BLASTING &amp; PAINTING RH120E COMPONENTS</t>
  </si>
  <si>
    <t>PM13 Container Workshop Upgrade_PSJV</t>
  </si>
  <si>
    <t>Autoclave Process Change Area</t>
  </si>
  <si>
    <t>nstall 2 x Vehicle Hoist @ LT/LV W/shop</t>
  </si>
  <si>
    <t>Construct W/shop extension kit</t>
  </si>
  <si>
    <t>Ball bunkers &amp; hoppers - sign &amp; stkrs</t>
  </si>
  <si>
    <t>Descale Agitator Shaft</t>
  </si>
  <si>
    <t>Blast &amp; Paint TK021 PSJV QRF PB2397</t>
  </si>
  <si>
    <t>Blast &amp; Paint TK047 PSJV QRF PB2342</t>
  </si>
  <si>
    <t>B/E PSL BP2361 Rear DPS Bay 1</t>
  </si>
  <si>
    <t>B/E PSL BP2362 Rear DPS Bay 2</t>
  </si>
  <si>
    <t>B/E PSL BP2363 Rear DPS Bay 3</t>
  </si>
  <si>
    <t>B/E PSL BP2364 Rear DPS Bay 4</t>
  </si>
  <si>
    <t>B/E PSL BP2365 Rear DPS Bay 5</t>
  </si>
  <si>
    <t>B/E PSL BP2366 Rear DPS Bay 6</t>
  </si>
  <si>
    <t>B/E PSL BP2367 Rear DPS Bay 7</t>
  </si>
  <si>
    <t>B/E PSL BP2368 Rear DPS Bay 8</t>
  </si>
  <si>
    <t>B/E PSL BP2369 Rear DPS Bay 9</t>
  </si>
  <si>
    <t>B/E PSL BP2370 Rear DPS Bay 10</t>
  </si>
  <si>
    <t>B/E PSL BP2371 Rear DPS Bay 11</t>
  </si>
  <si>
    <t>B/E PSL BP2372 Rear DPS Bay 12</t>
  </si>
  <si>
    <t>Hand Powertool Clean &amp; Paint  DG 31 Filt</t>
  </si>
  <si>
    <t>Hand Powertool Clean &amp; Paint  DG 32 Filt</t>
  </si>
  <si>
    <t>PSJV BP 2377  Blasting &amp; Coat P&amp;U Portab</t>
  </si>
  <si>
    <t>PSJV BP 2378 Painting External Of Seper</t>
  </si>
  <si>
    <t>PSL BP 2380 1790 - SS2932 415/33 KW</t>
  </si>
  <si>
    <t>PSL BP2379 D3 11 KW 1715 - SS4101</t>
  </si>
  <si>
    <t>PSJV#1841 DPS DG1 to Easteel Boilers - R</t>
  </si>
  <si>
    <t>PSJV#1841Rev3-DG1 to Easteel boilers con</t>
  </si>
  <si>
    <t>Hand Prepare ad paint Handrails</t>
  </si>
  <si>
    <t>PSJV MAY 2016 CH005 CIVIL WORKS</t>
  </si>
  <si>
    <t>PSJV#1827-Downpipe extension on IPS barg</t>
  </si>
  <si>
    <t>PSJV#1813 Widen bund protecting HFO line</t>
  </si>
  <si>
    <t>PSJV HCL Area refurbishment</t>
  </si>
  <si>
    <t>Lime Plant Cleaning</t>
  </si>
  <si>
    <t>Remove old gutter and replace with new</t>
  </si>
  <si>
    <t>Painting internal of main admin office</t>
  </si>
  <si>
    <t>Quote PSL BP 2337-GW68 External Descalin</t>
  </si>
  <si>
    <t>Water Blast &amp; Clean out FGO Underpan</t>
  </si>
  <si>
    <t>Install footpaths &amp; Armco guard rails</t>
  </si>
  <si>
    <t>Variation to PO 4500543900</t>
  </si>
  <si>
    <t>FGO MAY PSJV BLAST/PAINT CHUTES/PIPEWORK</t>
  </si>
  <si>
    <t>PSL BP 2338-30MW Weir box Water blasting</t>
  </si>
  <si>
    <t>PSJV#1750-Concret stairs and handrail</t>
  </si>
  <si>
    <t>PSJV#1805-Cut out with ready-made vent l</t>
  </si>
  <si>
    <t>PSJV  Supply Labour &amp; Plant equipment</t>
  </si>
  <si>
    <t>PSJV to insert Humeceptor at W/shop</t>
  </si>
  <si>
    <t>PSL BP 2328-4x30MW Separators Internal c</t>
  </si>
  <si>
    <t>PSL BP 2329-30MW Scrubber Internal Clean</t>
  </si>
  <si>
    <t>PSJV water blast roof &amp; structural steel</t>
  </si>
  <si>
    <t>PSL BP 2310 IPS Barge Ventilation &amp; Insp</t>
  </si>
  <si>
    <t>Sand blasting/painting pipe spools...</t>
  </si>
  <si>
    <t>Hire Equipment &amp; Blasting: HGO1 HGO2&amp;FGO</t>
  </si>
  <si>
    <t>PSJV#1755-Concrete Slab with fall entran</t>
  </si>
  <si>
    <t>PSJV#1745-Slab and Roof  Extension of ex</t>
  </si>
  <si>
    <t>Sandblast and paint lifting jig</t>
  </si>
  <si>
    <t>PSJV#1749-Demolition old and Install New</t>
  </si>
  <si>
    <t>Hydroblast chutes</t>
  </si>
  <si>
    <t>PSJV # 1711c-New concrete slab at entry</t>
  </si>
  <si>
    <t>Abrasive Blast &amp; Paint Structural Steel</t>
  </si>
  <si>
    <t>PSJV#1711b Extension of Monorail to Wart</t>
  </si>
  <si>
    <t>PSJV#1730 Remove gutter and replace exis</t>
  </si>
  <si>
    <t>Water blasting Internal of TK2040</t>
  </si>
  <si>
    <t>Waterblasting Internal of TK2039</t>
  </si>
  <si>
    <t>Waterblasting Internal of TK040</t>
  </si>
  <si>
    <t>Build additional step for the crossover</t>
  </si>
  <si>
    <t>Fabrica, paint and insatllhandrail</t>
  </si>
  <si>
    <t>PSJV-DG32 Platform &amp; Handrail Painting</t>
  </si>
  <si>
    <t>CCD1 Drain Cleaning_PSJV</t>
  </si>
  <si>
    <t>DPS PSJV Boiler area concrete drainage</t>
  </si>
  <si>
    <t>REFURBISH TK2047, for TK2045_PSJV</t>
  </si>
  <si>
    <t>PSJV#1711-Extension of existing Lean to</t>
  </si>
  <si>
    <t>PSJV - AC4 JAN2016 B/DOWN COST</t>
  </si>
  <si>
    <t>PSJV#1639-Fabrication and installation o</t>
  </si>
  <si>
    <t>Ref No: 002-16ak-Backhoe hire</t>
  </si>
  <si>
    <t>PSJV#1669 IPS Goods Delivery Facility</t>
  </si>
  <si>
    <t>PSJV #1875-Construct fork lift path, ext</t>
  </si>
  <si>
    <t>PSJV#1703-roof over containers and slab</t>
  </si>
  <si>
    <t>PSJV# PSL BP 2251 Blast &amp; Paint 16 Platf</t>
  </si>
  <si>
    <t>Assemble and install 8 engineering WWays</t>
  </si>
  <si>
    <t>FGO PLANT CLEAN UP COST</t>
  </si>
  <si>
    <t>HGO2 PLANT CLEAN UP COST</t>
  </si>
  <si>
    <t>HGO1 PLANT CLEAN UP COSTS</t>
  </si>
  <si>
    <t>stockpile viewing platform and entry gat</t>
  </si>
  <si>
    <t>AC3 Lighting Plant Hire</t>
  </si>
  <si>
    <t>PSJV#PSL BP2276-IPS Exhaust Gas Boiler</t>
  </si>
  <si>
    <t>Unblock Sparges TK 2041 &amp; TK 2042</t>
  </si>
  <si>
    <t>Rpair and install security lock Esteel#1</t>
  </si>
  <si>
    <t>PSJV Rpair IPS leaking roof abve HV room</t>
  </si>
  <si>
    <t>Water Blast Exterior/Interior of Tank</t>
  </si>
  <si>
    <t>PSJV#1622 Height Restriction Barrier</t>
  </si>
  <si>
    <t>PSJV Reinforce/Conrete Gabion Basket AC4</t>
  </si>
  <si>
    <t>PSJV#1689 Backhoe Hire 30MW Weir box cle</t>
  </si>
  <si>
    <t>PSJV#1633-Concrete Slab &amp; drainage syste</t>
  </si>
  <si>
    <t>PSJV Descaling Sump Pump Discharge Pipes</t>
  </si>
  <si>
    <t>PSJV Lime Plant Safety Barrier</t>
  </si>
  <si>
    <t>AC3 Descalling Supervisor</t>
  </si>
  <si>
    <t>AC3 Handpower tool clean &amp; Paint handrai</t>
  </si>
  <si>
    <t>AC3 Blast &amp; paint corroded sect, QuenchV</t>
  </si>
  <si>
    <t>AC3 Blast &amp; paint top sect, Flash Vessel</t>
  </si>
  <si>
    <t>AC3 Blast &amp; paint base, Heat Recovery V</t>
  </si>
  <si>
    <t>AC3 Blast &amp; paint pipe support, Quench V</t>
  </si>
  <si>
    <t>AC3 Degrease &amp; water blast AC3</t>
  </si>
  <si>
    <t>AC3 Bead blast agitator shaft</t>
  </si>
  <si>
    <t>AC3 Degrease, clean and paint agi motor</t>
  </si>
  <si>
    <t>AC3 Compressor &amp; dryer hire for machinis</t>
  </si>
  <si>
    <t>AC3 Blast &amp; paint main access hatches</t>
  </si>
  <si>
    <t>CR1 JAN 2016 PSJV HYDROBLAST CHUTES</t>
  </si>
  <si>
    <t>Labour &amp; Plant/Equipment: Potzlaka Road</t>
  </si>
  <si>
    <t>PSJV: Un-Blocked main Drain &gt; Road7</t>
  </si>
  <si>
    <t>PSJV#1646-Rescrew and rebuild roof struc</t>
  </si>
  <si>
    <t>Pressure clean autoclaves</t>
  </si>
  <si>
    <t>PSJV Quote no PSJV BP 2230</t>
  </si>
  <si>
    <t>PSJV#1511-Brine Station Upgrade</t>
  </si>
  <si>
    <t>Re-align Fence</t>
  </si>
  <si>
    <t>Descalling all AC2 Feedlines &amp; Geho Pump</t>
  </si>
  <si>
    <t>PSJV#2219, Blasting &amp; Painting Structura</t>
  </si>
  <si>
    <t>Sandblast unit - PSJV</t>
  </si>
  <si>
    <t>Carry out sandblasting - PSJV</t>
  </si>
  <si>
    <t>PSJV#1594-IPS igloo assembly &amp; slab</t>
  </si>
  <si>
    <t>PSJV#1632-Additional to IPS Igloo</t>
  </si>
  <si>
    <t>PSJV#1493-to repair engine hall sliding</t>
  </si>
  <si>
    <t>PSJV-IPS Utility Building Colour coding</t>
  </si>
  <si>
    <t>PSJV-Install Contrete Slab &amp; Footpaths</t>
  </si>
  <si>
    <t>Increase Value Of PO to pay invoice</t>
  </si>
  <si>
    <t>Pump out slurry A/C 4</t>
  </si>
  <si>
    <t>Remove fill at harbour base to incinerat</t>
  </si>
  <si>
    <t>PSJV Labour-July-Sep 2015 (Oxygen Plant)</t>
  </si>
  <si>
    <t>PSJV Labour- Oct-Dec 2015 (Oxygen Plant)</t>
  </si>
  <si>
    <t>PSJV Labour- Jan-Mar 2016 (Oxygen Plant)</t>
  </si>
  <si>
    <t>PSJV Labour- Apr-Jun 2016 (Oxygen Plant)</t>
  </si>
  <si>
    <t>Sinkhole in road at end of AC1</t>
  </si>
  <si>
    <t>VERTIMILL WATER BLASTING</t>
  </si>
  <si>
    <t>PSJV - Contract Labour</t>
  </si>
  <si>
    <t>PSJV HGO2 MOD SHUT 4th FEB 2015 S/BLAST</t>
  </si>
  <si>
    <t>Placements Sand/Waterblasting Jan 2015</t>
  </si>
  <si>
    <t>PLACEMENTS FGO MOD SHUT JAN 2015 W/BLAST</t>
  </si>
  <si>
    <t>Remove Compressor Shed Roof</t>
  </si>
  <si>
    <t>Blast/paint access ladder quote 17/9/14</t>
  </si>
  <si>
    <t>AC001 SEPT 2014 PSJV S/BLAST MANN COSTS</t>
  </si>
  <si>
    <t>PSJV SANDBLAST PAINT GM1001 PRESHUT</t>
  </si>
  <si>
    <t>PSJV SANDBLAST PAINT GM1001 SHUT TASKS</t>
  </si>
  <si>
    <t>PSJV SANDBLAST PAINT GM1001 TROMEL RING</t>
  </si>
  <si>
    <t>PSJV SANDBLAST PAINT GM1001 TROMEL COVER</t>
  </si>
  <si>
    <t>PSJV SANDBLAST PAINT GM1001 TRUNNION</t>
  </si>
  <si>
    <t>PSJV SANDBLAST PAINT CYCLONE SU1001</t>
  </si>
  <si>
    <t>PSJV SANDBLAST PAINT TRUNNION HOUSING</t>
  </si>
  <si>
    <t>Construct Concrete Ramp &amp; Driveway</t>
  </si>
  <si>
    <t>PSJV Oxy Plant April-Jun 2014</t>
  </si>
  <si>
    <t>Clean out internal of TK240</t>
  </si>
  <si>
    <t>Descale SN13 Screen</t>
  </si>
  <si>
    <t>Fill Pack Assembly, PSJV ref 023A-16ak</t>
  </si>
  <si>
    <t>Remove Old Fill, PSJV ref 025A-16ak</t>
  </si>
  <si>
    <t>PSL BP2456 GPS TX Bunkers Additional wor</t>
  </si>
  <si>
    <t xml:space="preserve"> - Introduced the DeveloperMode and DebugMode defined variables to late binding for release versions.</t>
  </si>
  <si>
    <t>Setup</t>
  </si>
  <si>
    <t xml:space="preserve"> - Trying to resolve bug in Org Chart when updating Parent Position. Seems to be resolved.</t>
  </si>
  <si>
    <t xml:space="preserve"> - Make sure DevelopMode=0 and DebugMode=0
 - Unreference:
        * Microsoft Visual Basic for Applications Extensibility
        * Microsoft ActiveX Data Objects x.x Library
        * Microsoft Scripting Runtime</t>
  </si>
  <si>
    <t xml:space="preserve"> - Adding Notification Display</t>
  </si>
  <si>
    <t xml:space="preserve"> - Making Work Order and Notification Displays such that you can enter a new Work Order or Notification. Like the way the Material display works.</t>
  </si>
  <si>
    <t xml:space="preserve"> - Trying to resolve bad object errors. Will introduce a new defined variable DebuggingBadObject</t>
  </si>
  <si>
    <t xml:space="preserve"> Found bug in Parts Search. Wasn't working when the vendor list was supplied, but there was no part number.</t>
  </si>
  <si>
    <t xml:space="preserve"> - Modifications to the PO Display to allow review of the work order, and to disable items controls when nothing is displayed to give feedback that one needs to click on an Item to see the data.</t>
  </si>
  <si>
    <t>AdamDellE7250</t>
  </si>
  <si>
    <t xml:space="preserve"> - Trying to find the issue with the User Defined Type Not defined issue. Manage to resolve it all by removing and restoring 4 files (ufFLOCBrower, ufPartsSearch, ufPartsDisplay and clsDateRangeRadButClickHandler). No idea why this worked.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</si>
</sst>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C09]dd\-mmm\-yy;@"/>
    <numFmt numFmtId="165" formatCode="00"/>
    <numFmt numFmtId="166" formatCode="d\-mmm\ yy"/>
    <numFmt numFmtId="167" formatCode="d\-mmm\-yy\ h:mm\ AM/PM"/>
    <numFmt numFmtId="168" formatCode="&quot;$&quot;#,##0;[Red]\-&quot;$&quot;#,##0;\-"/>
  </numFmts>
  <fonts count="22" x14ac:knownFonts="1">
    <font>
      <sz val="11"/>
      <color theme="1"/>
      <name val="Calibri"/>
      <family val="2"/>
      <scheme val="minor"/>
    </font>
    <font>
      <b/>
      <i/>
      <sz val="11"/>
      <color theme="1"/>
      <name val="Calibri"/>
      <family val="2"/>
      <scheme val="minor"/>
    </font>
    <font>
      <sz val="11"/>
      <color theme="1"/>
      <name val="Calibri"/>
      <family val="2"/>
      <scheme val="minor"/>
    </font>
    <font>
      <sz val="11"/>
      <color theme="1"/>
      <name val="Calibri"/>
      <family val="2"/>
    </font>
    <font>
      <u/>
      <sz val="10"/>
      <color indexed="12"/>
      <name val="Arial"/>
      <family val="2"/>
    </font>
    <font>
      <sz val="10"/>
      <name val="Arial"/>
      <family val="2"/>
    </font>
    <font>
      <b/>
      <sz val="11"/>
      <color rgb="FF0000FF"/>
      <name val="Calibri"/>
      <family val="2"/>
      <scheme val="minor"/>
    </font>
    <font>
      <b/>
      <sz val="11"/>
      <color theme="1"/>
      <name val="Calibri"/>
      <family val="2"/>
      <scheme val="minor"/>
    </font>
    <font>
      <i/>
      <sz val="11"/>
      <color theme="1"/>
      <name val="Calibri"/>
      <family val="2"/>
      <scheme val="minor"/>
    </font>
    <font>
      <sz val="10"/>
      <name val="Arial"/>
      <family val="2"/>
    </font>
    <font>
      <sz val="10"/>
      <name val="Arial"/>
      <family val="2"/>
    </font>
    <font>
      <sz val="10"/>
      <name val="Arial"/>
      <family val="2"/>
    </font>
    <font>
      <sz val="10"/>
      <name val="Arial"/>
      <family val="2"/>
    </font>
    <font>
      <b/>
      <sz val="14"/>
      <color rgb="FF0000FF"/>
      <name val="Calibri"/>
      <family val="2"/>
      <scheme val="minor"/>
    </font>
    <font>
      <b/>
      <sz val="11"/>
      <color rgb="FF0000FF"/>
      <name val="Wingdings"/>
      <charset val="2"/>
    </font>
    <font>
      <sz val="10"/>
      <name val="Arial"/>
      <family val="2"/>
    </font>
    <font>
      <sz val="10"/>
      <name val="Arial"/>
      <family val="2"/>
    </font>
    <font>
      <sz val="10"/>
      <name val="Arial"/>
      <family val="2"/>
    </font>
    <font>
      <b/>
      <sz val="11"/>
      <color theme="1"/>
      <name val="Calibri"/>
      <family val="2"/>
    </font>
    <font>
      <b/>
      <i/>
      <sz val="11"/>
      <color theme="1"/>
      <name val="Calibri"/>
      <family val="2"/>
    </font>
    <font>
      <i/>
      <sz val="11"/>
      <color theme="1"/>
      <name val="Calibri"/>
      <family val="2"/>
    </font>
    <font>
      <sz val="11"/>
      <color indexed="8"/>
      <name val="Calibri"/>
      <family val="2"/>
    </font>
  </fonts>
  <fills count="18">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0"/>
        <bgColor indexed="64"/>
      </patternFill>
    </fill>
    <fill>
      <patternFill patternType="solid">
        <fgColor theme="7" tint="0.79998168889431442"/>
        <bgColor indexed="64"/>
      </patternFill>
    </fill>
    <fill>
      <patternFill patternType="solid">
        <fgColor indexed="22"/>
        <bgColor indexed="64"/>
      </patternFill>
    </fill>
  </fills>
  <borders count="12">
    <border>
      <left/>
      <right/>
      <top/>
      <bottom/>
      <diagonal/>
    </border>
    <border>
      <left style="hair">
        <color indexed="64"/>
      </left>
      <right style="hair">
        <color indexed="64"/>
      </right>
      <top style="hair">
        <color indexed="64"/>
      </top>
      <bottom style="hair">
        <color indexed="64"/>
      </bottom>
      <diagonal/>
    </border>
    <border>
      <left style="thin">
        <color rgb="FFB2B2B2"/>
      </left>
      <right style="thin">
        <color rgb="FFB2B2B2"/>
      </right>
      <top style="thin">
        <color rgb="FFB2B2B2"/>
      </top>
      <bottom style="thin">
        <color rgb="FFB2B2B2"/>
      </bottom>
      <diagonal/>
    </border>
    <border>
      <left style="hair">
        <color indexed="64"/>
      </left>
      <right style="hair">
        <color indexed="64"/>
      </right>
      <top style="hair">
        <color indexed="64"/>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s>
  <cellStyleXfs count="341">
    <xf numFmtId="0" fontId="0" fillId="0" borderId="0"/>
    <xf numFmtId="0" fontId="3" fillId="0" borderId="0"/>
    <xf numFmtId="0" fontId="3" fillId="0" borderId="0"/>
    <xf numFmtId="0" fontId="2" fillId="3"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164" fontId="4"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5" fillId="0" borderId="0"/>
    <xf numFmtId="0" fontId="2" fillId="0" borderId="0"/>
    <xf numFmtId="0" fontId="2" fillId="0" borderId="0"/>
    <xf numFmtId="164" fontId="5" fillId="0" borderId="0"/>
    <xf numFmtId="0" fontId="5"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 borderId="2" applyNumberFormat="0" applyFont="0" applyAlignment="0" applyProtection="0"/>
    <xf numFmtId="0" fontId="2" fillId="2" borderId="2" applyNumberFormat="0" applyFont="0" applyAlignment="0" applyProtection="0"/>
    <xf numFmtId="0" fontId="2" fillId="2" borderId="2" applyNumberFormat="0" applyFont="0" applyAlignment="0" applyProtection="0"/>
    <xf numFmtId="0" fontId="2" fillId="2" borderId="2" applyNumberFormat="0" applyFont="0" applyAlignment="0" applyProtection="0"/>
    <xf numFmtId="9" fontId="5" fillId="0" borderId="0" applyFont="0" applyFill="0" applyBorder="0" applyAlignment="0" applyProtection="0"/>
    <xf numFmtId="0" fontId="9" fillId="0" borderId="0"/>
    <xf numFmtId="0" fontId="10" fillId="0" borderId="0"/>
    <xf numFmtId="0" fontId="11" fillId="0" borderId="0"/>
    <xf numFmtId="0" fontId="12" fillId="0" borderId="0"/>
    <xf numFmtId="0" fontId="15" fillId="0" borderId="0"/>
    <xf numFmtId="0" fontId="16" fillId="0" borderId="0"/>
    <xf numFmtId="0" fontId="17" fillId="0" borderId="0"/>
    <xf numFmtId="0" fontId="21" fillId="0" borderId="0" applyFill="0" applyProtection="0"/>
  </cellStyleXfs>
  <cellXfs count="70">
    <xf numFmtId="0" fontId="0" fillId="0" borderId="0" xfId="0"/>
    <xf numFmtId="0" fontId="1" fillId="0" borderId="0" xfId="0" applyFont="1"/>
    <xf numFmtId="15" fontId="0" fillId="0" borderId="0" xfId="0" applyNumberFormat="1"/>
    <xf numFmtId="0" fontId="0" fillId="0" borderId="0" xfId="0"/>
    <xf numFmtId="0" fontId="0" fillId="0" borderId="0" xfId="0" applyAlignment="1">
      <alignment vertical="top"/>
    </xf>
    <xf numFmtId="0" fontId="0" fillId="0" borderId="7" xfId="0" applyBorder="1" applyAlignment="1">
      <alignment vertical="top"/>
    </xf>
    <xf numFmtId="0" fontId="0" fillId="0" borderId="1" xfId="0" applyBorder="1" applyAlignment="1">
      <alignment vertical="top"/>
    </xf>
    <xf numFmtId="0" fontId="1" fillId="0" borderId="1" xfId="0" applyFont="1" applyBorder="1" applyAlignment="1">
      <alignment vertical="top"/>
    </xf>
    <xf numFmtId="0" fontId="0" fillId="0" borderId="0" xfId="0" quotePrefix="1"/>
    <xf numFmtId="0" fontId="0" fillId="0" borderId="0" xfId="0" applyAlignment="1">
      <alignment wrapText="1"/>
    </xf>
    <xf numFmtId="15" fontId="1" fillId="0" borderId="0" xfId="0" applyNumberFormat="1" applyFont="1"/>
    <xf numFmtId="15" fontId="1" fillId="0" borderId="0" xfId="0" applyNumberFormat="1" applyFont="1" applyAlignment="1">
      <alignment wrapText="1"/>
    </xf>
    <xf numFmtId="0" fontId="1" fillId="0" borderId="0" xfId="0" applyFont="1" applyAlignment="1">
      <alignment wrapText="1"/>
    </xf>
    <xf numFmtId="15" fontId="0" fillId="0" borderId="1" xfId="0" applyNumberFormat="1" applyBorder="1" applyAlignment="1">
      <alignment vertical="top"/>
    </xf>
    <xf numFmtId="0" fontId="0" fillId="0" borderId="5" xfId="0" applyBorder="1" applyAlignment="1">
      <alignment vertical="top"/>
    </xf>
    <xf numFmtId="0" fontId="0" fillId="0" borderId="4" xfId="0" applyBorder="1" applyAlignment="1">
      <alignment vertical="top" wrapText="1"/>
    </xf>
    <xf numFmtId="15" fontId="0" fillId="0" borderId="6" xfId="0" applyNumberFormat="1" applyBorder="1" applyAlignment="1">
      <alignment vertical="top"/>
    </xf>
    <xf numFmtId="0" fontId="0" fillId="0" borderId="1" xfId="0" applyBorder="1" applyAlignment="1">
      <alignment vertical="top" wrapText="1"/>
    </xf>
    <xf numFmtId="0" fontId="13" fillId="0" borderId="0" xfId="0" applyFont="1" applyAlignment="1">
      <alignment wrapText="1"/>
    </xf>
    <xf numFmtId="0" fontId="13" fillId="15" borderId="0" xfId="0" applyFont="1" applyFill="1" applyAlignment="1">
      <alignment wrapText="1"/>
    </xf>
    <xf numFmtId="0" fontId="1" fillId="15" borderId="0" xfId="0" applyFont="1" applyFill="1" applyAlignment="1">
      <alignment horizontal="left" vertical="top" wrapText="1"/>
    </xf>
    <xf numFmtId="0" fontId="1" fillId="16" borderId="9" xfId="0" applyFont="1" applyFill="1" applyBorder="1" applyAlignment="1">
      <alignment horizontal="left" vertical="top" wrapText="1"/>
    </xf>
    <xf numFmtId="0" fontId="0" fillId="15" borderId="0" xfId="0" applyFont="1" applyFill="1" applyAlignment="1">
      <alignment horizontal="left" vertical="top" wrapText="1"/>
    </xf>
    <xf numFmtId="0" fontId="6" fillId="0" borderId="0" xfId="0" applyFont="1" applyAlignment="1">
      <alignment wrapText="1"/>
    </xf>
    <xf numFmtId="0" fontId="0" fillId="0" borderId="0" xfId="0" applyFont="1"/>
    <xf numFmtId="0" fontId="0" fillId="15" borderId="0" xfId="0" applyFont="1" applyFill="1" applyAlignment="1">
      <alignment wrapText="1"/>
    </xf>
    <xf numFmtId="0" fontId="0" fillId="0" borderId="0" xfId="0" applyFont="1" applyAlignment="1">
      <alignment wrapText="1"/>
    </xf>
    <xf numFmtId="0" fontId="14" fillId="0" borderId="0" xfId="0" applyFont="1" applyAlignment="1">
      <alignment wrapText="1"/>
    </xf>
    <xf numFmtId="0" fontId="18" fillId="15" borderId="0" xfId="1" applyFont="1" applyFill="1" applyAlignment="1">
      <alignment horizontal="right"/>
    </xf>
    <xf numFmtId="0" fontId="0" fillId="15" borderId="3" xfId="1" applyFont="1" applyFill="1" applyBorder="1"/>
    <xf numFmtId="0" fontId="3" fillId="15" borderId="0" xfId="1" applyFill="1"/>
    <xf numFmtId="0" fontId="3" fillId="0" borderId="0" xfId="1"/>
    <xf numFmtId="0" fontId="18" fillId="15" borderId="0" xfId="1" applyFont="1" applyFill="1" applyAlignment="1">
      <alignment horizontal="right" vertical="top"/>
    </xf>
    <xf numFmtId="0" fontId="3" fillId="15" borderId="0" xfId="1" applyFill="1" applyBorder="1" applyAlignment="1">
      <alignment horizontal="left" vertical="top"/>
    </xf>
    <xf numFmtId="0" fontId="3" fillId="0" borderId="0" xfId="1" applyAlignment="1">
      <alignment wrapText="1"/>
    </xf>
    <xf numFmtId="0" fontId="19" fillId="15" borderId="0" xfId="1" applyFont="1" applyFill="1"/>
    <xf numFmtId="0" fontId="3" fillId="15" borderId="1" xfId="1" applyFill="1" applyBorder="1"/>
    <xf numFmtId="165" fontId="3" fillId="15" borderId="1" xfId="1" applyNumberFormat="1" applyFill="1" applyBorder="1"/>
    <xf numFmtId="165" fontId="3" fillId="15" borderId="0" xfId="1" applyNumberFormat="1" applyFill="1" applyBorder="1"/>
    <xf numFmtId="0" fontId="20" fillId="15" borderId="0" xfId="1" applyFont="1" applyFill="1"/>
    <xf numFmtId="0" fontId="18" fillId="15" borderId="0" xfId="1" applyFont="1" applyFill="1"/>
    <xf numFmtId="166" fontId="19" fillId="15" borderId="0" xfId="2" applyNumberFormat="1" applyFont="1" applyFill="1"/>
    <xf numFmtId="166" fontId="3" fillId="15" borderId="1" xfId="2" applyNumberFormat="1" applyFill="1" applyBorder="1"/>
    <xf numFmtId="0" fontId="3" fillId="15" borderId="0" xfId="1" applyFill="1" applyBorder="1"/>
    <xf numFmtId="0" fontId="3" fillId="15" borderId="1" xfId="1" applyFill="1" applyBorder="1" applyAlignment="1">
      <alignment vertical="top"/>
    </xf>
    <xf numFmtId="166" fontId="3" fillId="15" borderId="1" xfId="2" applyNumberFormat="1" applyFill="1" applyBorder="1" applyAlignment="1">
      <alignment vertical="top"/>
    </xf>
    <xf numFmtId="0" fontId="0" fillId="15" borderId="1" xfId="1" quotePrefix="1" applyFont="1" applyFill="1" applyBorder="1" applyAlignment="1">
      <alignment vertical="top" wrapText="1"/>
    </xf>
    <xf numFmtId="0" fontId="3" fillId="15" borderId="1" xfId="1" applyFill="1" applyBorder="1" applyAlignment="1">
      <alignment vertical="top" wrapText="1"/>
    </xf>
    <xf numFmtId="0" fontId="3" fillId="15" borderId="1" xfId="1" quotePrefix="1" applyFill="1" applyBorder="1" applyAlignment="1">
      <alignment vertical="top" wrapText="1"/>
    </xf>
    <xf numFmtId="167" fontId="0" fillId="0" borderId="0" xfId="0" applyNumberFormat="1"/>
    <xf numFmtId="0" fontId="1" fillId="0" borderId="4" xfId="0" applyFont="1"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15" borderId="1" xfId="1" quotePrefix="1" applyFont="1" applyFill="1" applyBorder="1" applyAlignment="1">
      <alignment wrapText="1"/>
    </xf>
    <xf numFmtId="0" fontId="0" fillId="17" borderId="10" xfId="0" applyFill="1" applyBorder="1" applyAlignment="1">
      <alignment vertical="top"/>
    </xf>
    <xf numFmtId="0" fontId="0" fillId="17" borderId="10" xfId="0" applyFill="1" applyBorder="1" applyAlignment="1">
      <alignment vertical="top" wrapText="1"/>
    </xf>
    <xf numFmtId="0" fontId="0" fillId="0" borderId="0" xfId="0" pivotButton="1"/>
    <xf numFmtId="0" fontId="0" fillId="0" borderId="0" xfId="0" applyAlignment="1">
      <alignment horizontal="left"/>
    </xf>
    <xf numFmtId="0" fontId="0" fillId="0" borderId="0" xfId="0" applyNumberFormat="1"/>
    <xf numFmtId="15" fontId="0" fillId="17" borderId="10" xfId="0" applyNumberFormat="1" applyFill="1" applyBorder="1" applyAlignment="1">
      <alignment vertical="top"/>
    </xf>
    <xf numFmtId="15" fontId="0" fillId="0" borderId="0" xfId="0" applyNumberFormat="1" applyAlignment="1">
      <alignment horizontal="right" vertical="top"/>
    </xf>
    <xf numFmtId="168" fontId="0" fillId="0" borderId="0" xfId="0" applyNumberFormat="1" applyAlignment="1">
      <alignment vertical="top"/>
    </xf>
    <xf numFmtId="0" fontId="0" fillId="0" borderId="0" xfId="0" quotePrefix="1" applyAlignment="1">
      <alignment vertical="top"/>
    </xf>
    <xf numFmtId="0" fontId="0" fillId="0" borderId="0" xfId="0" applyAlignment="1">
      <alignment vertical="top" wrapText="1"/>
    </xf>
    <xf numFmtId="14" fontId="0" fillId="0" borderId="0" xfId="0" applyNumberFormat="1"/>
    <xf numFmtId="0" fontId="0" fillId="0" borderId="1" xfId="0" quotePrefix="1" applyBorder="1" applyAlignment="1">
      <alignment vertical="top" wrapText="1"/>
    </xf>
    <xf numFmtId="0" fontId="7" fillId="0" borderId="11" xfId="0" applyFont="1" applyBorder="1"/>
    <xf numFmtId="0" fontId="0" fillId="15" borderId="4" xfId="1" applyFont="1" applyFill="1" applyBorder="1" applyAlignment="1">
      <alignment horizontal="left" vertical="top" wrapText="1"/>
    </xf>
    <xf numFmtId="0" fontId="3" fillId="15" borderId="5" xfId="1" applyFill="1" applyBorder="1" applyAlignment="1">
      <alignment horizontal="left" vertical="top" wrapText="1"/>
    </xf>
    <xf numFmtId="0" fontId="3" fillId="15" borderId="6" xfId="1" applyFill="1" applyBorder="1" applyAlignment="1">
      <alignment horizontal="left" vertical="top" wrapText="1"/>
    </xf>
  </cellXfs>
  <cellStyles count="341">
    <cellStyle name="20% - Accent1 2" xfId="3"/>
    <cellStyle name="20% - Accent1 3" xfId="4"/>
    <cellStyle name="20% - Accent1 4" xfId="5"/>
    <cellStyle name="20% - Accent2 2" xfId="6"/>
    <cellStyle name="20% - Accent2 3" xfId="7"/>
    <cellStyle name="20% - Accent2 4" xfId="8"/>
    <cellStyle name="20% - Accent3 2" xfId="9"/>
    <cellStyle name="20% - Accent3 3" xfId="10"/>
    <cellStyle name="20% - Accent3 4" xfId="11"/>
    <cellStyle name="20% - Accent4 2" xfId="12"/>
    <cellStyle name="20% - Accent4 3" xfId="13"/>
    <cellStyle name="20% - Accent4 4" xfId="14"/>
    <cellStyle name="20% - Accent5 2" xfId="15"/>
    <cellStyle name="20% - Accent5 3" xfId="16"/>
    <cellStyle name="20% - Accent5 4" xfId="17"/>
    <cellStyle name="20% - Accent6 2" xfId="18"/>
    <cellStyle name="20% - Accent6 3" xfId="19"/>
    <cellStyle name="20% - Accent6 4" xfId="20"/>
    <cellStyle name="40% - Accent1 2" xfId="21"/>
    <cellStyle name="40% - Accent1 3" xfId="22"/>
    <cellStyle name="40% - Accent1 4" xfId="23"/>
    <cellStyle name="40% - Accent2 2" xfId="24"/>
    <cellStyle name="40% - Accent2 3" xfId="25"/>
    <cellStyle name="40% - Accent2 4" xfId="26"/>
    <cellStyle name="40% - Accent3 2" xfId="27"/>
    <cellStyle name="40% - Accent3 3" xfId="28"/>
    <cellStyle name="40% - Accent3 4" xfId="29"/>
    <cellStyle name="40% - Accent4 2" xfId="30"/>
    <cellStyle name="40% - Accent4 3" xfId="31"/>
    <cellStyle name="40% - Accent4 4" xfId="32"/>
    <cellStyle name="40% - Accent5 2" xfId="33"/>
    <cellStyle name="40% - Accent5 3" xfId="34"/>
    <cellStyle name="40% - Accent5 4" xfId="35"/>
    <cellStyle name="40% - Accent6 2" xfId="36"/>
    <cellStyle name="40% - Accent6 3" xfId="37"/>
    <cellStyle name="40% - Accent6 4" xfId="38"/>
    <cellStyle name="Hyperlink 2" xfId="39"/>
    <cellStyle name="Normal" xfId="0" builtinId="0"/>
    <cellStyle name="Normal 10" xfId="40"/>
    <cellStyle name="Normal 10 2" xfId="41"/>
    <cellStyle name="Normal 10 2 2" xfId="42"/>
    <cellStyle name="Normal 10 2 2 2" xfId="43"/>
    <cellStyle name="Normal 10 2 2 3" xfId="44"/>
    <cellStyle name="Normal 10 2 2 4" xfId="45"/>
    <cellStyle name="Normal 10 2 3" xfId="46"/>
    <cellStyle name="Normal 10 2 3 2" xfId="47"/>
    <cellStyle name="Normal 10 2 3 3" xfId="48"/>
    <cellStyle name="Normal 10 2 3 4" xfId="49"/>
    <cellStyle name="Normal 10 2 4" xfId="50"/>
    <cellStyle name="Normal 10 2 4 2" xfId="51"/>
    <cellStyle name="Normal 10 2 5" xfId="52"/>
    <cellStyle name="Normal 10 2 6" xfId="53"/>
    <cellStyle name="Normal 10 2 7" xfId="54"/>
    <cellStyle name="Normal 10 3" xfId="55"/>
    <cellStyle name="Normal 10 3 2" xfId="56"/>
    <cellStyle name="Normal 10 3 3" xfId="57"/>
    <cellStyle name="Normal 10 3 4" xfId="58"/>
    <cellStyle name="Normal 10 4" xfId="59"/>
    <cellStyle name="Normal 10 4 2" xfId="60"/>
    <cellStyle name="Normal 10 4 3" xfId="61"/>
    <cellStyle name="Normal 10 4 4" xfId="62"/>
    <cellStyle name="Normal 10 5" xfId="63"/>
    <cellStyle name="Normal 10 5 2" xfId="64"/>
    <cellStyle name="Normal 10 6" xfId="65"/>
    <cellStyle name="Normal 10 7" xfId="66"/>
    <cellStyle name="Normal 10 8" xfId="67"/>
    <cellStyle name="Normal 11" xfId="68"/>
    <cellStyle name="Normal 11 2" xfId="69"/>
    <cellStyle name="Normal 11 2 2" xfId="70"/>
    <cellStyle name="Normal 11 2 2 2" xfId="71"/>
    <cellStyle name="Normal 11 2 2 3" xfId="72"/>
    <cellStyle name="Normal 11 2 2 4" xfId="73"/>
    <cellStyle name="Normal 11 2 3" xfId="74"/>
    <cellStyle name="Normal 11 2 3 2" xfId="75"/>
    <cellStyle name="Normal 11 2 3 3" xfId="76"/>
    <cellStyle name="Normal 11 2 3 4" xfId="77"/>
    <cellStyle name="Normal 11 2 4" xfId="78"/>
    <cellStyle name="Normal 11 2 4 2" xfId="79"/>
    <cellStyle name="Normal 11 2 5" xfId="80"/>
    <cellStyle name="Normal 11 2 6" xfId="81"/>
    <cellStyle name="Normal 11 2 7" xfId="82"/>
    <cellStyle name="Normal 11 2 8" xfId="2"/>
    <cellStyle name="Normal 11 3" xfId="83"/>
    <cellStyle name="Normal 11 3 2" xfId="84"/>
    <cellStyle name="Normal 11 3 3" xfId="85"/>
    <cellStyle name="Normal 11 3 4" xfId="86"/>
    <cellStyle name="Normal 11 4" xfId="87"/>
    <cellStyle name="Normal 11 4 2" xfId="88"/>
    <cellStyle name="Normal 11 4 3" xfId="89"/>
    <cellStyle name="Normal 11 4 4" xfId="90"/>
    <cellStyle name="Normal 11 5" xfId="91"/>
    <cellStyle name="Normal 11 5 2" xfId="92"/>
    <cellStyle name="Normal 11 6" xfId="93"/>
    <cellStyle name="Normal 11 7" xfId="94"/>
    <cellStyle name="Normal 11 8" xfId="95"/>
    <cellStyle name="Normal 11 9" xfId="1"/>
    <cellStyle name="Normal 12" xfId="96"/>
    <cellStyle name="Normal 13" xfId="97"/>
    <cellStyle name="Normal 13 2" xfId="98"/>
    <cellStyle name="Normal 14" xfId="99"/>
    <cellStyle name="Normal 15" xfId="333"/>
    <cellStyle name="Normal 16" xfId="334"/>
    <cellStyle name="Normal 17" xfId="335"/>
    <cellStyle name="Normal 18" xfId="336"/>
    <cellStyle name="Normal 19" xfId="337"/>
    <cellStyle name="Normal 2" xfId="100"/>
    <cellStyle name="Normal 2 10" xfId="101"/>
    <cellStyle name="Normal 2 2" xfId="102"/>
    <cellStyle name="Normal 2 2 2" xfId="103"/>
    <cellStyle name="Normal 2 2 2 2" xfId="104"/>
    <cellStyle name="Normal 2 2 2 3" xfId="105"/>
    <cellStyle name="Normal 2 2 2 4" xfId="106"/>
    <cellStyle name="Normal 2 2 3" xfId="107"/>
    <cellStyle name="Normal 2 2 3 2" xfId="108"/>
    <cellStyle name="Normal 2 2 3 3" xfId="109"/>
    <cellStyle name="Normal 2 2 3 4" xfId="110"/>
    <cellStyle name="Normal 2 2 4" xfId="111"/>
    <cellStyle name="Normal 2 2 4 2" xfId="112"/>
    <cellStyle name="Normal 2 2 5" xfId="113"/>
    <cellStyle name="Normal 2 2 6" xfId="114"/>
    <cellStyle name="Normal 2 2 7" xfId="115"/>
    <cellStyle name="Normal 2 3" xfId="116"/>
    <cellStyle name="Normal 2 3 2" xfId="117"/>
    <cellStyle name="Normal 2 3 3" xfId="118"/>
    <cellStyle name="Normal 2 3 4" xfId="119"/>
    <cellStyle name="Normal 2 4" xfId="120"/>
    <cellStyle name="Normal 2 4 2" xfId="121"/>
    <cellStyle name="Normal 2 4 3" xfId="122"/>
    <cellStyle name="Normal 2 4 4" xfId="123"/>
    <cellStyle name="Normal 2 5" xfId="124"/>
    <cellStyle name="Normal 2 5 2" xfId="125"/>
    <cellStyle name="Normal 2 6" xfId="126"/>
    <cellStyle name="Normal 2 7" xfId="127"/>
    <cellStyle name="Normal 2 8" xfId="128"/>
    <cellStyle name="Normal 2 9" xfId="129"/>
    <cellStyle name="Normal 20" xfId="338"/>
    <cellStyle name="Normal 21" xfId="339"/>
    <cellStyle name="Normal 22" xfId="340"/>
    <cellStyle name="Normal 3" xfId="130"/>
    <cellStyle name="Normal 3 2" xfId="131"/>
    <cellStyle name="Normal 3 2 2" xfId="132"/>
    <cellStyle name="Normal 3 2 2 2" xfId="133"/>
    <cellStyle name="Normal 3 2 2 3" xfId="134"/>
    <cellStyle name="Normal 3 2 2 4" xfId="135"/>
    <cellStyle name="Normal 3 2 3" xfId="136"/>
    <cellStyle name="Normal 3 2 3 2" xfId="137"/>
    <cellStyle name="Normal 3 2 3 3" xfId="138"/>
    <cellStyle name="Normal 3 2 3 4" xfId="139"/>
    <cellStyle name="Normal 3 2 4" xfId="140"/>
    <cellStyle name="Normal 3 2 4 2" xfId="141"/>
    <cellStyle name="Normal 3 2 5" xfId="142"/>
    <cellStyle name="Normal 3 2 6" xfId="143"/>
    <cellStyle name="Normal 3 2 7" xfId="144"/>
    <cellStyle name="Normal 3 3" xfId="145"/>
    <cellStyle name="Normal 3 3 2" xfId="146"/>
    <cellStyle name="Normal 3 3 3" xfId="147"/>
    <cellStyle name="Normal 3 3 4" xfId="148"/>
    <cellStyle name="Normal 3 4" xfId="149"/>
    <cellStyle name="Normal 3 4 2" xfId="150"/>
    <cellStyle name="Normal 3 4 3" xfId="151"/>
    <cellStyle name="Normal 3 4 4" xfId="152"/>
    <cellStyle name="Normal 3 5" xfId="153"/>
    <cellStyle name="Normal 3 5 2" xfId="154"/>
    <cellStyle name="Normal 3 6" xfId="155"/>
    <cellStyle name="Normal 3 7" xfId="156"/>
    <cellStyle name="Normal 3 8" xfId="157"/>
    <cellStyle name="Normal 4" xfId="158"/>
    <cellStyle name="Normal 4 2" xfId="159"/>
    <cellStyle name="Normal 4 2 2" xfId="160"/>
    <cellStyle name="Normal 4 2 2 2" xfId="161"/>
    <cellStyle name="Normal 4 2 2 3" xfId="162"/>
    <cellStyle name="Normal 4 2 2 4" xfId="163"/>
    <cellStyle name="Normal 4 2 3" xfId="164"/>
    <cellStyle name="Normal 4 2 3 2" xfId="165"/>
    <cellStyle name="Normal 4 2 3 3" xfId="166"/>
    <cellStyle name="Normal 4 2 3 4" xfId="167"/>
    <cellStyle name="Normal 4 2 4" xfId="168"/>
    <cellStyle name="Normal 4 2 4 2" xfId="169"/>
    <cellStyle name="Normal 4 2 5" xfId="170"/>
    <cellStyle name="Normal 4 2 6" xfId="171"/>
    <cellStyle name="Normal 4 2 7" xfId="172"/>
    <cellStyle name="Normal 4 3" xfId="173"/>
    <cellStyle name="Normal 4 3 2" xfId="174"/>
    <cellStyle name="Normal 4 3 3" xfId="175"/>
    <cellStyle name="Normal 4 3 4" xfId="176"/>
    <cellStyle name="Normal 4 3 5" xfId="177"/>
    <cellStyle name="Normal 4 4" xfId="178"/>
    <cellStyle name="Normal 4 4 2" xfId="179"/>
    <cellStyle name="Normal 4 4 3" xfId="180"/>
    <cellStyle name="Normal 4 4 4" xfId="181"/>
    <cellStyle name="Normal 4 5" xfId="182"/>
    <cellStyle name="Normal 4 5 2" xfId="183"/>
    <cellStyle name="Normal 4 6" xfId="184"/>
    <cellStyle name="Normal 4 7" xfId="185"/>
    <cellStyle name="Normal 4 8" xfId="186"/>
    <cellStyle name="Normal 4 9" xfId="187"/>
    <cellStyle name="Normal 5" xfId="188"/>
    <cellStyle name="Normal 5 2" xfId="189"/>
    <cellStyle name="Normal 5 2 2" xfId="190"/>
    <cellStyle name="Normal 5 2 2 2" xfId="191"/>
    <cellStyle name="Normal 5 2 2 3" xfId="192"/>
    <cellStyle name="Normal 5 2 2 4" xfId="193"/>
    <cellStyle name="Normal 5 2 3" xfId="194"/>
    <cellStyle name="Normal 5 2 3 2" xfId="195"/>
    <cellStyle name="Normal 5 2 3 3" xfId="196"/>
    <cellStyle name="Normal 5 2 3 4" xfId="197"/>
    <cellStyle name="Normal 5 2 4" xfId="198"/>
    <cellStyle name="Normal 5 2 4 2" xfId="199"/>
    <cellStyle name="Normal 5 2 5" xfId="200"/>
    <cellStyle name="Normal 5 2 6" xfId="201"/>
    <cellStyle name="Normal 5 2 7" xfId="202"/>
    <cellStyle name="Normal 5 3" xfId="203"/>
    <cellStyle name="Normal 5 3 2" xfId="204"/>
    <cellStyle name="Normal 5 3 3" xfId="205"/>
    <cellStyle name="Normal 5 3 4" xfId="206"/>
    <cellStyle name="Normal 5 4" xfId="207"/>
    <cellStyle name="Normal 5 4 2" xfId="208"/>
    <cellStyle name="Normal 5 4 3" xfId="209"/>
    <cellStyle name="Normal 5 4 4" xfId="210"/>
    <cellStyle name="Normal 5 5" xfId="211"/>
    <cellStyle name="Normal 5 5 2" xfId="212"/>
    <cellStyle name="Normal 5 6" xfId="213"/>
    <cellStyle name="Normal 5 7" xfId="214"/>
    <cellStyle name="Normal 5 8" xfId="215"/>
    <cellStyle name="Normal 6" xfId="216"/>
    <cellStyle name="Normal 6 2" xfId="217"/>
    <cellStyle name="Normal 6 2 2" xfId="218"/>
    <cellStyle name="Normal 6 2 2 2" xfId="219"/>
    <cellStyle name="Normal 6 2 2 3" xfId="220"/>
    <cellStyle name="Normal 6 2 2 4" xfId="221"/>
    <cellStyle name="Normal 6 2 3" xfId="222"/>
    <cellStyle name="Normal 6 2 3 2" xfId="223"/>
    <cellStyle name="Normal 6 2 3 3" xfId="224"/>
    <cellStyle name="Normal 6 2 3 4" xfId="225"/>
    <cellStyle name="Normal 6 2 4" xfId="226"/>
    <cellStyle name="Normal 6 2 4 2" xfId="227"/>
    <cellStyle name="Normal 6 2 5" xfId="228"/>
    <cellStyle name="Normal 6 2 6" xfId="229"/>
    <cellStyle name="Normal 6 2 7" xfId="230"/>
    <cellStyle name="Normal 6 3" xfId="231"/>
    <cellStyle name="Normal 6 3 2" xfId="232"/>
    <cellStyle name="Normal 6 3 3" xfId="233"/>
    <cellStyle name="Normal 6 3 4" xfId="234"/>
    <cellStyle name="Normal 6 4" xfId="235"/>
    <cellStyle name="Normal 6 4 2" xfId="236"/>
    <cellStyle name="Normal 6 4 3" xfId="237"/>
    <cellStyle name="Normal 6 4 4" xfId="238"/>
    <cellStyle name="Normal 6 5" xfId="239"/>
    <cellStyle name="Normal 6 5 2" xfId="240"/>
    <cellStyle name="Normal 6 6" xfId="241"/>
    <cellStyle name="Normal 6 7" xfId="242"/>
    <cellStyle name="Normal 6 8" xfId="243"/>
    <cellStyle name="Normal 7" xfId="244"/>
    <cellStyle name="Normal 7 2" xfId="245"/>
    <cellStyle name="Normal 7 2 2" xfId="246"/>
    <cellStyle name="Normal 7 2 2 2" xfId="247"/>
    <cellStyle name="Normal 7 2 2 3" xfId="248"/>
    <cellStyle name="Normal 7 2 2 4" xfId="249"/>
    <cellStyle name="Normal 7 2 3" xfId="250"/>
    <cellStyle name="Normal 7 2 3 2" xfId="251"/>
    <cellStyle name="Normal 7 2 3 3" xfId="252"/>
    <cellStyle name="Normal 7 2 3 4" xfId="253"/>
    <cellStyle name="Normal 7 2 4" xfId="254"/>
    <cellStyle name="Normal 7 2 4 2" xfId="255"/>
    <cellStyle name="Normal 7 2 5" xfId="256"/>
    <cellStyle name="Normal 7 2 6" xfId="257"/>
    <cellStyle name="Normal 7 2 7" xfId="258"/>
    <cellStyle name="Normal 7 3" xfId="259"/>
    <cellStyle name="Normal 7 3 2" xfId="260"/>
    <cellStyle name="Normal 7 3 3" xfId="261"/>
    <cellStyle name="Normal 7 3 4" xfId="262"/>
    <cellStyle name="Normal 7 4" xfId="263"/>
    <cellStyle name="Normal 7 4 2" xfId="264"/>
    <cellStyle name="Normal 7 4 3" xfId="265"/>
    <cellStyle name="Normal 7 4 4" xfId="266"/>
    <cellStyle name="Normal 7 5" xfId="267"/>
    <cellStyle name="Normal 7 5 2" xfId="268"/>
    <cellStyle name="Normal 7 6" xfId="269"/>
    <cellStyle name="Normal 7 7" xfId="270"/>
    <cellStyle name="Normal 7 8" xfId="271"/>
    <cellStyle name="Normal 8" xfId="272"/>
    <cellStyle name="Normal 8 2" xfId="273"/>
    <cellStyle name="Normal 8 2 2" xfId="274"/>
    <cellStyle name="Normal 8 2 2 2" xfId="275"/>
    <cellStyle name="Normal 8 2 2 3" xfId="276"/>
    <cellStyle name="Normal 8 2 2 4" xfId="277"/>
    <cellStyle name="Normal 8 2 3" xfId="278"/>
    <cellStyle name="Normal 8 2 3 2" xfId="279"/>
    <cellStyle name="Normal 8 2 3 3" xfId="280"/>
    <cellStyle name="Normal 8 2 3 4" xfId="281"/>
    <cellStyle name="Normal 8 2 4" xfId="282"/>
    <cellStyle name="Normal 8 2 4 2" xfId="283"/>
    <cellStyle name="Normal 8 2 5" xfId="284"/>
    <cellStyle name="Normal 8 2 6" xfId="285"/>
    <cellStyle name="Normal 8 2 7" xfId="286"/>
    <cellStyle name="Normal 8 3" xfId="287"/>
    <cellStyle name="Normal 8 3 2" xfId="288"/>
    <cellStyle name="Normal 8 3 3" xfId="289"/>
    <cellStyle name="Normal 8 3 4" xfId="290"/>
    <cellStyle name="Normal 8 4" xfId="291"/>
    <cellStyle name="Normal 8 4 2" xfId="292"/>
    <cellStyle name="Normal 8 4 3" xfId="293"/>
    <cellStyle name="Normal 8 4 4" xfId="294"/>
    <cellStyle name="Normal 8 5" xfId="295"/>
    <cellStyle name="Normal 8 5 2" xfId="296"/>
    <cellStyle name="Normal 8 6" xfId="297"/>
    <cellStyle name="Normal 8 7" xfId="298"/>
    <cellStyle name="Normal 8 8" xfId="299"/>
    <cellStyle name="Normal 9" xfId="300"/>
    <cellStyle name="Normal 9 2" xfId="301"/>
    <cellStyle name="Normal 9 2 2" xfId="302"/>
    <cellStyle name="Normal 9 2 2 2" xfId="303"/>
    <cellStyle name="Normal 9 2 2 3" xfId="304"/>
    <cellStyle name="Normal 9 2 2 4" xfId="305"/>
    <cellStyle name="Normal 9 2 3" xfId="306"/>
    <cellStyle name="Normal 9 2 3 2" xfId="307"/>
    <cellStyle name="Normal 9 2 3 3" xfId="308"/>
    <cellStyle name="Normal 9 2 3 4" xfId="309"/>
    <cellStyle name="Normal 9 2 4" xfId="310"/>
    <cellStyle name="Normal 9 2 4 2" xfId="311"/>
    <cellStyle name="Normal 9 2 5" xfId="312"/>
    <cellStyle name="Normal 9 2 6" xfId="313"/>
    <cellStyle name="Normal 9 2 7" xfId="314"/>
    <cellStyle name="Normal 9 3" xfId="315"/>
    <cellStyle name="Normal 9 3 2" xfId="316"/>
    <cellStyle name="Normal 9 3 3" xfId="317"/>
    <cellStyle name="Normal 9 3 4" xfId="318"/>
    <cellStyle name="Normal 9 4" xfId="319"/>
    <cellStyle name="Normal 9 4 2" xfId="320"/>
    <cellStyle name="Normal 9 4 3" xfId="321"/>
    <cellStyle name="Normal 9 4 4" xfId="322"/>
    <cellStyle name="Normal 9 5" xfId="323"/>
    <cellStyle name="Normal 9 5 2" xfId="324"/>
    <cellStyle name="Normal 9 6" xfId="325"/>
    <cellStyle name="Normal 9 7" xfId="326"/>
    <cellStyle name="Normal 9 8" xfId="327"/>
    <cellStyle name="Note 2" xfId="328"/>
    <cellStyle name="Note 2 2" xfId="329"/>
    <cellStyle name="Note 2 3" xfId="330"/>
    <cellStyle name="Note 2 4" xfId="331"/>
    <cellStyle name="Percent 2" xfId="332"/>
  </cellStyles>
  <dxfs count="1">
    <dxf>
      <font>
        <color theme="1" tint="0.34998626667073579"/>
      </font>
      <fill>
        <patternFill>
          <bgColor theme="0" tint="-0.2499465926084170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am Pemberton" refreshedDate="42652.334015277775" createdVersion="5" refreshedVersion="5" minRefreshableVersion="3" recordCount="260">
  <cacheSource type="worksheet">
    <worksheetSource ref="A1:H261" sheet="EgPO's"/>
  </cacheSource>
  <cacheFields count="8">
    <cacheField name="Purchasing Document" numFmtId="0">
      <sharedItems count="255">
        <s v="4500500009"/>
        <s v="4500500010"/>
        <s v="4500500018"/>
        <s v="4500500048"/>
        <s v="4500500062"/>
        <s v="4500500063"/>
        <s v="4500500068"/>
        <s v="4500500092"/>
        <s v="4500500101"/>
        <s v="4500500102"/>
        <s v="4500500105"/>
        <s v="4500500107"/>
        <s v="4500500112"/>
        <s v="4500500115"/>
        <s v="4500500118"/>
        <s v="4500500121"/>
        <s v="4500500123"/>
        <s v="4500500126"/>
        <s v="4500500127"/>
        <s v="4500500130"/>
        <s v="4500500131"/>
        <s v="4500500135"/>
        <s v="4500500136"/>
        <s v="4500500137"/>
        <s v="4500500138"/>
        <s v="4500500139"/>
        <s v="4500500141"/>
        <s v="4500500142"/>
        <s v="4500500143"/>
        <s v="4500500144"/>
        <s v="4500500146"/>
        <s v="4500500149"/>
        <s v="4500500155"/>
        <s v="4500500164"/>
        <s v="4500500165"/>
        <s v="4500500166"/>
        <s v="4500500167"/>
        <s v="4500500168"/>
        <s v="4500500169"/>
        <s v="4500500170"/>
        <s v="4500500186"/>
        <s v="4500500187"/>
        <s v="4500500188"/>
        <s v="4500500189"/>
        <s v="4500500190"/>
        <s v="4500500191"/>
        <s v="4500500192"/>
        <s v="4500500193"/>
        <s v="4500500194"/>
        <s v="4500500196"/>
        <s v="4500500197"/>
        <s v="4500500199"/>
        <s v="4500500201"/>
        <s v="4500500205"/>
        <s v="4500500206"/>
        <s v="4500500208"/>
        <s v="4500500209"/>
        <s v="4500500212"/>
        <s v="4500500216"/>
        <s v="4500500217"/>
        <s v="4500500219"/>
        <s v="4500500220"/>
        <s v="4500500230"/>
        <s v="4500500243"/>
        <s v="4500500245"/>
        <s v="4500500253"/>
        <s v="4500500258"/>
        <s v="4500500259"/>
        <s v="4500500270"/>
        <s v="4500500271"/>
        <s v="4500500272"/>
        <s v="4500500281"/>
        <s v="4500500291"/>
        <s v="4500500292"/>
        <s v="4500500310"/>
        <s v="4500500326"/>
        <s v="4500500332"/>
        <s v="4500500348"/>
        <s v="4500500385"/>
        <s v="4500500387"/>
        <s v="4500500389"/>
        <s v="4500500390"/>
        <s v="4500500391"/>
        <s v="4500500392"/>
        <s v="4500500406"/>
        <s v="4500500411"/>
        <s v="4500500414"/>
        <s v="4500500422"/>
        <s v="4500500424"/>
        <s v="4500500429"/>
        <s v="4500500447"/>
        <s v="4500500455"/>
        <s v="4500500456"/>
        <s v="4500500457"/>
        <s v="4500500458"/>
        <s v="4500500467"/>
        <s v="4500500492"/>
        <s v="4500500502"/>
        <s v="4500500503"/>
        <s v="4500500508"/>
        <s v="4500500529"/>
        <s v="4500500537"/>
        <s v="4500500550"/>
        <s v="4500500551"/>
        <s v="4500500552"/>
        <s v="4500500553"/>
        <s v="4500500556"/>
        <s v="4500500562"/>
        <s v="4500500565"/>
        <s v="4500500575"/>
        <s v="4500500578"/>
        <s v="4500500580"/>
        <s v="4500500586"/>
        <s v="4500500587"/>
        <s v="4500500593"/>
        <s v="4500500598"/>
        <s v="4500500600"/>
        <s v="4500500645"/>
        <s v="4500500649"/>
        <s v="4500500650"/>
        <s v="4500500651"/>
        <s v="4500500652"/>
        <s v="4500500660"/>
        <s v="4500500661"/>
        <s v="4500500662"/>
        <s v="4500500663"/>
        <s v="4500500664"/>
        <s v="4500500665"/>
        <s v="4500500670"/>
        <s v="4500500680"/>
        <s v="4500500682"/>
        <s v="4500500691"/>
        <s v="4500500715"/>
        <s v="4500500716"/>
        <s v="4500500744"/>
        <s v="4500500745"/>
        <s v="4500500757"/>
        <s v="4500500765"/>
        <s v="4500500766"/>
        <s v="4500500768"/>
        <s v="4500500796"/>
        <s v="4500500800"/>
        <s v="4500500801"/>
        <s v="4500500802"/>
        <s v="4500500803"/>
        <s v="4500500804"/>
        <s v="4500500805"/>
        <s v="4500500810"/>
        <s v="4500500811"/>
        <s v="4500500821"/>
        <s v="4500500822"/>
        <s v="4500500823"/>
        <s v="4500500825"/>
        <s v="4500500827"/>
        <s v="4500500828"/>
        <s v="4500500839"/>
        <s v="4500500848"/>
        <s v="4500500866"/>
        <s v="4500500869"/>
        <s v="4500500873"/>
        <s v="4500500875"/>
        <s v="4500500876"/>
        <s v="4500500878"/>
        <s v="4500500883"/>
        <s v="4500500884"/>
        <s v="4500500893"/>
        <s v="4500500897"/>
        <s v="4500500902"/>
        <s v="4500500912"/>
        <s v="4500500914"/>
        <s v="4500500916"/>
        <s v="4500500924"/>
        <s v="4500500925"/>
        <s v="4500500927"/>
        <s v="4500500940"/>
        <s v="4500500960"/>
        <s v="4500500961"/>
        <s v="4500500967"/>
        <s v="4500500968"/>
        <s v="4500500970"/>
        <s v="4500500971"/>
        <s v="4500500973"/>
        <s v="4500500974"/>
        <s v="4500500975"/>
        <s v="4500500976"/>
        <s v="4500500977"/>
        <s v="4500500980"/>
        <s v="4500500982"/>
        <s v="4500500983"/>
        <s v="4500500984"/>
        <s v="4500500987"/>
        <s v="4500500992"/>
        <s v="4500500996"/>
        <s v="4500501026"/>
        <s v="4500501029"/>
        <s v="4500501030"/>
        <s v="4500501038"/>
        <s v="4500501041"/>
        <s v="4500501054"/>
        <s v="4500501080"/>
        <s v="4500501110"/>
        <s v="4500501111"/>
        <s v="4500501116"/>
        <s v="4500501129"/>
        <s v="4500501130"/>
        <s v="4500501174"/>
        <s v="4500501181"/>
        <s v="4500501187"/>
        <s v="4500501188"/>
        <s v="4500501194"/>
        <s v="4500501195"/>
        <s v="4500501196"/>
        <s v="4500501197"/>
        <s v="4500501202"/>
        <s v="4500501209"/>
        <s v="4500501240"/>
        <s v="4500501253"/>
        <s v="4500501255"/>
        <s v="4500501256"/>
        <s v="4500501260"/>
        <s v="4500501261"/>
        <s v="4500501262"/>
        <s v="4500501263"/>
        <s v="4500501264"/>
        <s v="4500501265"/>
        <s v="4500501266"/>
        <s v="4500501268"/>
        <s v="4500501275"/>
        <s v="4500501276"/>
        <s v="4500501277"/>
        <s v="4500501278"/>
        <s v="4500501279"/>
        <s v="4500501280"/>
        <s v="4500501287"/>
        <s v="4500501288"/>
        <s v="4500501293"/>
        <s v="4500501296"/>
        <s v="4500501300"/>
        <s v="4500501304"/>
        <s v="4500501328"/>
        <s v="4500501330"/>
        <s v="4500501332"/>
        <s v="4500501338"/>
        <s v="4500501339"/>
        <s v="4500501341"/>
        <s v="4500501342"/>
        <s v="4500501343"/>
        <s v="4500501346"/>
        <s v="4500501355"/>
        <s v="4500501357"/>
        <s v="4500501359"/>
        <s v="4500501363"/>
        <s v="4500501364"/>
        <s v="4500501366"/>
        <s v="4500501367"/>
      </sharedItems>
    </cacheField>
    <cacheField name="Purchasing Doc. Type" numFmtId="0">
      <sharedItems/>
    </cacheField>
    <cacheField name="Purch. Doc. Category" numFmtId="0">
      <sharedItems/>
    </cacheField>
    <cacheField name="Purchasing Group" numFmtId="0">
      <sharedItems/>
    </cacheField>
    <cacheField name="Document Date" numFmtId="15">
      <sharedItems containsSemiMixedTypes="0" containsNonDate="0" containsDate="1" containsString="0" minDate="2015-12-14T00:00:00" maxDate="2015-12-19T00:00:00"/>
    </cacheField>
    <cacheField name="Vendor/supplying plant" numFmtId="0">
      <sharedItems/>
    </cacheField>
    <cacheField name="Item Category" numFmtId="0">
      <sharedItems/>
    </cacheField>
    <cacheField name="Cost Center"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0">
  <r>
    <x v="0"/>
    <s v="NB"/>
    <s v="F"/>
    <s v="303"/>
    <d v="2015-12-14T00:00:00"/>
    <s v="106497     LIHIR CIVIL &amp; CONSTRUCTION LTD"/>
    <s v="D"/>
    <s v=""/>
  </r>
  <r>
    <x v="1"/>
    <s v="NB"/>
    <s v="F"/>
    <s v="301"/>
    <d v="2015-12-14T00:00:00"/>
    <s v="108647     HASTINGS DEERING VHI (PNG) LTD"/>
    <s v=""/>
    <s v=""/>
  </r>
  <r>
    <x v="2"/>
    <s v="NB"/>
    <s v="F"/>
    <s v="302"/>
    <d v="2015-12-14T00:00:00"/>
    <s v="100338     J BLACKWOODS &amp; SON PTY LTD"/>
    <s v=""/>
    <s v=""/>
  </r>
  <r>
    <x v="3"/>
    <s v="NB"/>
    <s v="F"/>
    <s v="303"/>
    <d v="2015-12-14T00:00:00"/>
    <s v="109946     NEXUS ENGINEERING SOLUTIONS"/>
    <s v="D"/>
    <s v="4110431101"/>
  </r>
  <r>
    <x v="4"/>
    <s v="NB"/>
    <s v="F"/>
    <s v="302"/>
    <d v="2015-12-14T00:00:00"/>
    <s v="106212     LIHIR AUTO SERVICES (ELA MOTORS)"/>
    <s v=""/>
    <s v=""/>
  </r>
  <r>
    <x v="5"/>
    <s v="NB"/>
    <s v="F"/>
    <s v="303"/>
    <d v="2015-12-14T00:00:00"/>
    <s v="101509     KONECRANES PTY LTD"/>
    <s v="D"/>
    <s v=""/>
  </r>
  <r>
    <x v="6"/>
    <s v="NB"/>
    <s v="F"/>
    <s v="302"/>
    <d v="2015-12-14T00:00:00"/>
    <s v="104861     TAIT ELECTRONICS (AUST) PTY LTD"/>
    <s v=""/>
    <s v="4110501105"/>
  </r>
  <r>
    <x v="7"/>
    <s v="NB"/>
    <s v="F"/>
    <s v="301"/>
    <d v="2015-12-14T00:00:00"/>
    <s v="108647     HASTINGS DEERING VHI (PNG) LTD"/>
    <s v=""/>
    <s v=""/>
  </r>
  <r>
    <x v="8"/>
    <s v="NB"/>
    <s v="F"/>
    <s v="302"/>
    <d v="2015-12-14T00:00:00"/>
    <s v="100338     J BLACKWOODS &amp; SON PTY LTD"/>
    <s v=""/>
    <s v="4110425126"/>
  </r>
  <r>
    <x v="9"/>
    <s v="NB"/>
    <s v="F"/>
    <s v="301"/>
    <d v="2015-12-14T00:00:00"/>
    <s v="108647     HASTINGS DEERING VHI (PNG) LTD"/>
    <s v=""/>
    <s v=""/>
  </r>
  <r>
    <x v="10"/>
    <s v="NB"/>
    <s v="F"/>
    <s v="302"/>
    <d v="2015-12-14T00:00:00"/>
    <s v="100338     J BLACKWOODS &amp; SON PTY LTD"/>
    <s v=""/>
    <s v="4110425125"/>
  </r>
  <r>
    <x v="11"/>
    <s v="NB"/>
    <s v="F"/>
    <s v="303"/>
    <d v="2015-12-14T00:00:00"/>
    <s v="106476     PLACEMENTS SOLBOW JOINT VENTURE"/>
    <s v="D"/>
    <s v="4110405102"/>
  </r>
  <r>
    <x v="12"/>
    <s v="NB"/>
    <s v="F"/>
    <s v="302"/>
    <d v="2015-12-14T00:00:00"/>
    <s v="106212     LIHIR AUTO SERVICES (ELA MOTORS)"/>
    <s v=""/>
    <s v=""/>
  </r>
  <r>
    <x v="13"/>
    <s v="NB"/>
    <s v="F"/>
    <s v="302"/>
    <d v="2015-12-14T00:00:00"/>
    <s v="106248     HASTINGS DEERING (PNG) (LIHIR NON-V"/>
    <s v=""/>
    <s v=""/>
  </r>
  <r>
    <x v="14"/>
    <s v="NB"/>
    <s v="F"/>
    <s v="301"/>
    <d v="2015-12-14T00:00:00"/>
    <s v="108647     HASTINGS DEERING VHI (PNG) LTD"/>
    <s v=""/>
    <s v=""/>
  </r>
  <r>
    <x v="15"/>
    <s v="NB"/>
    <s v="F"/>
    <s v="306"/>
    <d v="2015-12-14T00:00:00"/>
    <s v="106612     OPTIMUM CONTROL PTY LIMITED"/>
    <s v=""/>
    <s v=""/>
  </r>
  <r>
    <x v="16"/>
    <s v="NB"/>
    <s v="F"/>
    <s v="301"/>
    <d v="2015-12-14T00:00:00"/>
    <s v="108647     HASTINGS DEERING VHI (PNG) LTD"/>
    <s v=""/>
    <s v=""/>
  </r>
  <r>
    <x v="17"/>
    <s v="NB"/>
    <s v="F"/>
    <s v="302"/>
    <d v="2015-12-14T00:00:00"/>
    <s v="106212     LIHIR AUTO SERVICES (ELA MOTORS)"/>
    <s v=""/>
    <s v=""/>
  </r>
  <r>
    <x v="18"/>
    <s v="NB"/>
    <s v="F"/>
    <s v="303"/>
    <d v="2015-12-14T00:00:00"/>
    <s v="102157     PRICE WATERHOUSE COOPERS"/>
    <s v="D"/>
    <s v="4110501100"/>
  </r>
  <r>
    <x v="19"/>
    <s v="NB"/>
    <s v="F"/>
    <s v="302"/>
    <d v="2015-12-14T00:00:00"/>
    <s v="106971     SUN ENGINEERING (QLD) P/L"/>
    <s v=""/>
    <s v=""/>
  </r>
  <r>
    <x v="20"/>
    <s v="NB"/>
    <s v="F"/>
    <s v="303"/>
    <d v="2015-12-14T00:00:00"/>
    <s v="107515     LIHIR BUSINESS SERVICES LTD"/>
    <s v="D"/>
    <s v=""/>
  </r>
  <r>
    <x v="21"/>
    <s v="NB"/>
    <s v="F"/>
    <s v="302"/>
    <d v="2015-12-14T00:00:00"/>
    <s v="100984     MRC GLOBAL AUSTRALIA PTY LTD"/>
    <s v=""/>
    <s v=""/>
  </r>
  <r>
    <x v="22"/>
    <s v="NB"/>
    <s v="F"/>
    <s v="302"/>
    <d v="2015-12-14T00:00:00"/>
    <s v="107597     THINK VISUAL P/L"/>
    <s v=""/>
    <s v="4110501108"/>
  </r>
  <r>
    <x v="23"/>
    <s v="NB"/>
    <s v="F"/>
    <s v="302"/>
    <d v="2015-12-14T00:00:00"/>
    <s v="102403     SEW - EURODRIVE PTY LTD"/>
    <s v=""/>
    <s v=""/>
  </r>
  <r>
    <x v="24"/>
    <s v="NB"/>
    <s v="F"/>
    <s v="301"/>
    <d v="2015-12-14T00:00:00"/>
    <s v="108647     HASTINGS DEERING VHI (PNG) LTD"/>
    <s v=""/>
    <s v=""/>
  </r>
  <r>
    <x v="25"/>
    <s v="NB"/>
    <s v="F"/>
    <s v="301"/>
    <d v="2015-12-14T00:00:00"/>
    <s v="108647     HASTINGS DEERING VHI (PNG) LTD"/>
    <s v=""/>
    <s v=""/>
  </r>
  <r>
    <x v="26"/>
    <s v="NB"/>
    <s v="F"/>
    <s v="301"/>
    <d v="2015-12-14T00:00:00"/>
    <s v="108647     HASTINGS DEERING VHI (PNG) LTD"/>
    <s v=""/>
    <s v=""/>
  </r>
  <r>
    <x v="27"/>
    <s v="NB"/>
    <s v="F"/>
    <s v="301"/>
    <d v="2015-12-14T00:00:00"/>
    <s v="108647     HASTINGS DEERING VHI (PNG) LTD"/>
    <s v=""/>
    <s v=""/>
  </r>
  <r>
    <x v="28"/>
    <s v="NB"/>
    <s v="F"/>
    <s v="301"/>
    <d v="2015-12-14T00:00:00"/>
    <s v="108647     HASTINGS DEERING VHI (PNG) LTD"/>
    <s v=""/>
    <s v=""/>
  </r>
  <r>
    <x v="29"/>
    <s v="NB"/>
    <s v="F"/>
    <s v="301"/>
    <d v="2015-12-14T00:00:00"/>
    <s v="108647     HASTINGS DEERING VHI (PNG) LTD"/>
    <s v=""/>
    <s v=""/>
  </r>
  <r>
    <x v="30"/>
    <s v="NB"/>
    <s v="F"/>
    <s v="302"/>
    <d v="2015-12-14T00:00:00"/>
    <s v="106481     EXPAC QLD PTY LTD UNIT TRUST"/>
    <s v=""/>
    <s v="4110501101"/>
  </r>
  <r>
    <x v="31"/>
    <s v="NB"/>
    <s v="F"/>
    <s v="302"/>
    <d v="2015-12-14T00:00:00"/>
    <s v="106248     HASTINGS DEERING (PNG) (LIHIR NON-V"/>
    <s v=""/>
    <s v=""/>
  </r>
  <r>
    <x v="32"/>
    <s v="NB"/>
    <s v="F"/>
    <s v="301"/>
    <d v="2015-12-14T00:00:00"/>
    <s v="108647     HASTINGS DEERING VHI (PNG) LTD"/>
    <s v=""/>
    <s v=""/>
  </r>
  <r>
    <x v="33"/>
    <s v="NB"/>
    <s v="F"/>
    <s v="301"/>
    <d v="2015-12-14T00:00:00"/>
    <s v="108647     HASTINGS DEERING VHI (PNG) LTD"/>
    <s v=""/>
    <s v=""/>
  </r>
  <r>
    <x v="34"/>
    <s v="NB"/>
    <s v="F"/>
    <s v="303"/>
    <d v="2015-12-14T00:00:00"/>
    <s v="1          DIWAI PACIFIC LIMITED"/>
    <s v="D"/>
    <s v=""/>
  </r>
  <r>
    <x v="35"/>
    <s v="NB"/>
    <s v="F"/>
    <s v="301"/>
    <d v="2015-12-14T00:00:00"/>
    <s v="108647     HASTINGS DEERING VHI (PNG) LTD"/>
    <s v=""/>
    <s v=""/>
  </r>
  <r>
    <x v="36"/>
    <s v="NB"/>
    <s v="F"/>
    <s v="301"/>
    <d v="2015-12-14T00:00:00"/>
    <s v="108647     HASTINGS DEERING VHI (PNG) LTD"/>
    <s v=""/>
    <s v=""/>
  </r>
  <r>
    <x v="37"/>
    <s v="NB"/>
    <s v="F"/>
    <s v="301"/>
    <d v="2015-12-15T00:00:00"/>
    <s v="108647     HASTINGS DEERING VHI (PNG) LTD"/>
    <s v=""/>
    <s v=""/>
  </r>
  <r>
    <x v="38"/>
    <s v="NB"/>
    <s v="F"/>
    <s v="301"/>
    <d v="2015-12-15T00:00:00"/>
    <s v="108647     HASTINGS DEERING VHI (PNG) LTD"/>
    <s v=""/>
    <s v=""/>
  </r>
  <r>
    <x v="39"/>
    <s v="NB"/>
    <s v="F"/>
    <s v="301"/>
    <d v="2015-12-15T00:00:00"/>
    <s v="108647     HASTINGS DEERING VHI (PNG) LTD"/>
    <s v=""/>
    <s v=""/>
  </r>
  <r>
    <x v="40"/>
    <s v="NB"/>
    <s v="F"/>
    <s v="301"/>
    <d v="2015-12-15T00:00:00"/>
    <s v="108647     HASTINGS DEERING VHI (PNG) LTD"/>
    <s v=""/>
    <s v=""/>
  </r>
  <r>
    <x v="41"/>
    <s v="NB"/>
    <s v="F"/>
    <s v="301"/>
    <d v="2015-12-15T00:00:00"/>
    <s v="108647     HASTINGS DEERING VHI (PNG) LTD"/>
    <s v=""/>
    <s v=""/>
  </r>
  <r>
    <x v="42"/>
    <s v="NB"/>
    <s v="F"/>
    <s v="301"/>
    <d v="2015-12-15T00:00:00"/>
    <s v="108647     HASTINGS DEERING VHI (PNG) LTD"/>
    <s v=""/>
    <s v=""/>
  </r>
  <r>
    <x v="43"/>
    <s v="NB"/>
    <s v="F"/>
    <s v="301"/>
    <d v="2015-12-15T00:00:00"/>
    <s v="108647     HASTINGS DEERING VHI (PNG) LTD"/>
    <s v=""/>
    <s v=""/>
  </r>
  <r>
    <x v="44"/>
    <s v="NB"/>
    <s v="F"/>
    <s v="301"/>
    <d v="2015-12-15T00:00:00"/>
    <s v="108647     HASTINGS DEERING VHI (PNG) LTD"/>
    <s v=""/>
    <s v=""/>
  </r>
  <r>
    <x v="45"/>
    <s v="NB"/>
    <s v="F"/>
    <s v="301"/>
    <d v="2015-12-15T00:00:00"/>
    <s v="108647     HASTINGS DEERING VHI (PNG) LTD"/>
    <s v=""/>
    <s v=""/>
  </r>
  <r>
    <x v="46"/>
    <s v="NB"/>
    <s v="F"/>
    <s v="301"/>
    <d v="2015-12-15T00:00:00"/>
    <s v="108647     HASTINGS DEERING VHI (PNG) LTD"/>
    <s v=""/>
    <s v=""/>
  </r>
  <r>
    <x v="47"/>
    <s v="NB"/>
    <s v="F"/>
    <s v="301"/>
    <d v="2015-12-15T00:00:00"/>
    <s v="108647     HASTINGS DEERING VHI (PNG) LTD"/>
    <s v=""/>
    <s v=""/>
  </r>
  <r>
    <x v="48"/>
    <s v="NB"/>
    <s v="F"/>
    <s v="301"/>
    <d v="2015-12-15T00:00:00"/>
    <s v="108647     HASTINGS DEERING VHI (PNG) LTD"/>
    <s v=""/>
    <s v=""/>
  </r>
  <r>
    <x v="49"/>
    <s v="NB"/>
    <s v="F"/>
    <s v="302"/>
    <d v="2015-12-15T00:00:00"/>
    <s v="106929     SEACUP AGENCIES LTD"/>
    <s v=""/>
    <s v=""/>
  </r>
  <r>
    <x v="50"/>
    <s v="NB"/>
    <s v="F"/>
    <s v="302"/>
    <d v="2015-12-15T00:00:00"/>
    <s v="106096     PLUMTRADE P/L"/>
    <s v=""/>
    <s v=""/>
  </r>
  <r>
    <x v="51"/>
    <s v="NB"/>
    <s v="F"/>
    <s v="302"/>
    <d v="2015-12-15T00:00:00"/>
    <s v="102811     WARTSILA AUSTRALIA PTY LTD"/>
    <s v=""/>
    <s v=""/>
  </r>
  <r>
    <x v="52"/>
    <s v="NB"/>
    <s v="F"/>
    <s v="302"/>
    <d v="2015-12-15T00:00:00"/>
    <s v="104691     HASTINGS DEERING AUSTRALIA LTD"/>
    <s v=""/>
    <s v=""/>
  </r>
  <r>
    <x v="53"/>
    <s v="NB"/>
    <s v="F"/>
    <s v="302"/>
    <d v="2015-12-15T00:00:00"/>
    <s v="109795     BRAY CONTROLS PACIFIC PTY LTD"/>
    <s v=""/>
    <s v=""/>
  </r>
  <r>
    <x v="54"/>
    <s v="NB"/>
    <s v="F"/>
    <s v="302"/>
    <d v="2015-12-15T00:00:00"/>
    <s v="104928     JOY GLOBAL (AUS) SURFACE PTY LTD"/>
    <s v=""/>
    <s v="4110425126"/>
  </r>
  <r>
    <x v="55"/>
    <s v="NB"/>
    <s v="F"/>
    <s v="302"/>
    <d v="2015-12-15T00:00:00"/>
    <s v="106576     FINLAY SCREENING &amp; CRUSHING"/>
    <s v=""/>
    <s v=""/>
  </r>
  <r>
    <x v="56"/>
    <s v="NB"/>
    <s v="F"/>
    <s v="301"/>
    <d v="2015-12-15T00:00:00"/>
    <s v="108647     HASTINGS DEERING VHI (PNG) LTD"/>
    <s v=""/>
    <s v=""/>
  </r>
  <r>
    <x v="57"/>
    <s v="NB"/>
    <s v="F"/>
    <s v="302"/>
    <d v="2015-12-15T00:00:00"/>
    <s v="104861     TAIT ELECTRONICS (AUST) PTY LTD"/>
    <s v=""/>
    <s v="4110422101"/>
  </r>
  <r>
    <x v="58"/>
    <s v="NB"/>
    <s v="F"/>
    <s v="302"/>
    <d v="2015-12-15T00:00:00"/>
    <s v="102014     PALL AUSTRALIA PTY LTD"/>
    <s v=""/>
    <s v="4110423105"/>
  </r>
  <r>
    <x v="59"/>
    <s v="NB"/>
    <s v="F"/>
    <s v="302"/>
    <d v="2015-12-15T00:00:00"/>
    <s v="104861     TAIT ELECTRONICS (AUST) PTY LTD"/>
    <s v=""/>
    <s v="4110403102"/>
  </r>
  <r>
    <x v="60"/>
    <s v="NB"/>
    <s v="F"/>
    <s v="302"/>
    <d v="2015-12-15T00:00:00"/>
    <s v="107586     CMP AUSTRALIA PTY LIMITED"/>
    <s v=""/>
    <s v=""/>
  </r>
  <r>
    <x v="61"/>
    <s v="NB"/>
    <s v="F"/>
    <s v="301"/>
    <d v="2015-12-15T00:00:00"/>
    <s v="108647     HASTINGS DEERING VHI (PNG) LTD"/>
    <s v=""/>
    <s v=""/>
  </r>
  <r>
    <x v="62"/>
    <s v="NB"/>
    <s v="F"/>
    <s v="302"/>
    <d v="2015-12-15T00:00:00"/>
    <s v="109604     MKI"/>
    <s v=""/>
    <s v="4110421101"/>
  </r>
  <r>
    <x v="63"/>
    <s v="NB"/>
    <s v="F"/>
    <s v="302"/>
    <d v="2015-12-15T00:00:00"/>
    <s v="108395     FGS COMPOSITES P/L"/>
    <s v=""/>
    <s v=""/>
  </r>
  <r>
    <x v="64"/>
    <s v="NB"/>
    <s v="F"/>
    <s v="302"/>
    <d v="2015-12-15T00:00:00"/>
    <s v="100764     DELL AUSTRALIA PTY LTD"/>
    <s v=""/>
    <s v="4110421106"/>
  </r>
  <r>
    <x v="65"/>
    <s v="NB"/>
    <s v="F"/>
    <s v="302"/>
    <d v="2015-12-15T00:00:00"/>
    <s v="106481     EXPAC QLD PTY LTD UNIT TRUST"/>
    <s v=""/>
    <s v="4110421102"/>
  </r>
  <r>
    <x v="66"/>
    <s v="NB"/>
    <s v="F"/>
    <s v="301"/>
    <d v="2015-12-15T00:00:00"/>
    <s v="108647     HASTINGS DEERING VHI (PNG) LTD"/>
    <s v=""/>
    <s v=""/>
  </r>
  <r>
    <x v="67"/>
    <s v="NB"/>
    <s v="F"/>
    <s v="301"/>
    <d v="2015-12-15T00:00:00"/>
    <s v="108647     HASTINGS DEERING VHI (PNG) LTD"/>
    <s v=""/>
    <s v=""/>
  </r>
  <r>
    <x v="68"/>
    <s v="NB"/>
    <s v="F"/>
    <s v="301"/>
    <d v="2015-12-15T00:00:00"/>
    <s v="108647     HASTINGS DEERING VHI (PNG) LTD"/>
    <s v=""/>
    <s v=""/>
  </r>
  <r>
    <x v="69"/>
    <s v="NB"/>
    <s v="F"/>
    <s v="301"/>
    <d v="2015-12-15T00:00:00"/>
    <s v="108647     HASTINGS DEERING VHI (PNG) LTD"/>
    <s v=""/>
    <s v=""/>
  </r>
  <r>
    <x v="70"/>
    <s v="NB"/>
    <s v="F"/>
    <s v="301"/>
    <d v="2015-12-15T00:00:00"/>
    <s v="108647     HASTINGS DEERING VHI (PNG) LTD"/>
    <s v=""/>
    <s v=""/>
  </r>
  <r>
    <x v="71"/>
    <s v="NB"/>
    <s v="F"/>
    <s v="302"/>
    <d v="2015-12-15T00:00:00"/>
    <s v="107234     BRISBANE ISUZU"/>
    <s v=""/>
    <s v=""/>
  </r>
  <r>
    <x v="72"/>
    <s v="NB"/>
    <s v="F"/>
    <s v="301"/>
    <d v="2015-12-15T00:00:00"/>
    <s v="108647     HASTINGS DEERING VHI (PNG) LTD"/>
    <s v=""/>
    <s v=""/>
  </r>
  <r>
    <x v="73"/>
    <s v="NB"/>
    <s v="F"/>
    <s v="301"/>
    <d v="2015-12-15T00:00:00"/>
    <s v="108647     HASTINGS DEERING VHI (PNG) LTD"/>
    <s v=""/>
    <s v=""/>
  </r>
  <r>
    <x v="74"/>
    <s v="NB"/>
    <s v="F"/>
    <s v="302"/>
    <d v="2015-12-15T00:00:00"/>
    <s v="108221     NIUGINI LINK PTY LTD"/>
    <s v=""/>
    <s v="4110432103"/>
  </r>
  <r>
    <x v="75"/>
    <s v="NB"/>
    <s v="F"/>
    <s v="302"/>
    <d v="2015-12-15T00:00:00"/>
    <s v="101154     FLSMIDTH PTY LTD"/>
    <s v=""/>
    <s v="4110421106"/>
  </r>
  <r>
    <x v="76"/>
    <s v="NB"/>
    <s v="F"/>
    <s v="301"/>
    <d v="2015-12-15T00:00:00"/>
    <s v="108647     HASTINGS DEERING VHI (PNG) LTD"/>
    <s v=""/>
    <s v=""/>
  </r>
  <r>
    <x v="77"/>
    <s v="NB"/>
    <s v="F"/>
    <s v="302"/>
    <d v="2015-12-15T00:00:00"/>
    <s v="106096     PLUMTRADE P/L"/>
    <s v=""/>
    <s v=""/>
  </r>
  <r>
    <x v="78"/>
    <s v="NB"/>
    <s v="F"/>
    <s v="301"/>
    <d v="2015-12-15T00:00:00"/>
    <s v="108647     HASTINGS DEERING VHI (PNG) LTD"/>
    <s v=""/>
    <s v=""/>
  </r>
  <r>
    <x v="79"/>
    <s v="NB"/>
    <s v="F"/>
    <s v="301"/>
    <d v="2015-12-15T00:00:00"/>
    <s v="107284     HIP POCKET WORKWEAR &amp; SAFETY LTD"/>
    <s v=""/>
    <s v=""/>
  </r>
  <r>
    <x v="80"/>
    <s v="NB"/>
    <s v="F"/>
    <s v="301"/>
    <d v="2015-12-15T00:00:00"/>
    <s v="107284     HIP POCKET WORKWEAR &amp; SAFETY LTD"/>
    <s v=""/>
    <s v=""/>
  </r>
  <r>
    <x v="81"/>
    <s v="NB"/>
    <s v="F"/>
    <s v="301"/>
    <d v="2015-12-15T00:00:00"/>
    <s v="107284     HIP POCKET WORKWEAR &amp; SAFETY LTD"/>
    <s v=""/>
    <s v="4110421106"/>
  </r>
  <r>
    <x v="82"/>
    <s v="NB"/>
    <s v="F"/>
    <s v="301"/>
    <d v="2015-12-15T00:00:00"/>
    <s v="107284     HIP POCKET WORKWEAR &amp; SAFETY LTD"/>
    <s v=""/>
    <s v="4110401107"/>
  </r>
  <r>
    <x v="83"/>
    <s v="NB"/>
    <s v="F"/>
    <s v="301"/>
    <d v="2015-12-15T00:00:00"/>
    <s v="107284     HIP POCKET WORKWEAR &amp; SAFETY LTD"/>
    <s v=""/>
    <s v="4110422101"/>
  </r>
  <r>
    <x v="84"/>
    <s v="NB"/>
    <s v="F"/>
    <s v="303"/>
    <d v="2015-12-15T00:00:00"/>
    <s v="106536     ANITUA RADIAL DRILLING SERV LTD"/>
    <s v="D"/>
    <s v="4110405109"/>
  </r>
  <r>
    <x v="85"/>
    <s v="NB"/>
    <s v="F"/>
    <s v="301"/>
    <d v="2015-12-15T00:00:00"/>
    <s v="108647     HASTINGS DEERING VHI (PNG) LTD"/>
    <s v=""/>
    <s v=""/>
  </r>
  <r>
    <x v="86"/>
    <s v="NB"/>
    <s v="F"/>
    <s v="303"/>
    <d v="2015-12-15T00:00:00"/>
    <s v="106830     LIHIR CONTRACTING SERVICES"/>
    <s v="D"/>
    <s v=""/>
  </r>
  <r>
    <x v="87"/>
    <s v="NB"/>
    <s v="F"/>
    <s v="301"/>
    <d v="2015-12-15T00:00:00"/>
    <s v="108647     HASTINGS DEERING VHI (PNG) LTD"/>
    <s v=""/>
    <s v=""/>
  </r>
  <r>
    <x v="88"/>
    <s v="NB"/>
    <s v="F"/>
    <s v="302"/>
    <d v="2015-12-15T00:00:00"/>
    <s v="104691     HASTINGS DEERING AUSTRALIA LTD"/>
    <s v=""/>
    <s v=""/>
  </r>
  <r>
    <x v="89"/>
    <s v="NB"/>
    <s v="F"/>
    <s v="302"/>
    <d v="2015-12-15T00:00:00"/>
    <s v="104691     HASTINGS DEERING AUSTRALIA LTD"/>
    <s v=""/>
    <s v=""/>
  </r>
  <r>
    <x v="90"/>
    <s v="NB"/>
    <s v="F"/>
    <s v="301"/>
    <d v="2015-12-15T00:00:00"/>
    <s v="108647     HASTINGS DEERING VHI (PNG) LTD"/>
    <s v=""/>
    <s v=""/>
  </r>
  <r>
    <x v="91"/>
    <s v="NB"/>
    <s v="F"/>
    <s v="301"/>
    <d v="2015-12-15T00:00:00"/>
    <s v="108647     HASTINGS DEERING VHI (PNG) LTD"/>
    <s v=""/>
    <s v=""/>
  </r>
  <r>
    <x v="92"/>
    <s v="NB"/>
    <s v="F"/>
    <s v="301"/>
    <d v="2015-12-15T00:00:00"/>
    <s v="108647     HASTINGS DEERING VHI (PNG) LTD"/>
    <s v=""/>
    <s v=""/>
  </r>
  <r>
    <x v="93"/>
    <s v="NB"/>
    <s v="F"/>
    <s v="301"/>
    <d v="2015-12-15T00:00:00"/>
    <s v="108647     HASTINGS DEERING VHI (PNG) LTD"/>
    <s v=""/>
    <s v=""/>
  </r>
  <r>
    <x v="94"/>
    <s v="NB"/>
    <s v="F"/>
    <s v="301"/>
    <d v="2015-12-15T00:00:00"/>
    <s v="108647     HASTINGS DEERING VHI (PNG) LTD"/>
    <s v=""/>
    <s v=""/>
  </r>
  <r>
    <x v="95"/>
    <s v="NB"/>
    <s v="F"/>
    <s v="302"/>
    <d v="2015-12-15T00:00:00"/>
    <s v="106822     ANITUA HARDWARE LTD"/>
    <s v=""/>
    <s v=""/>
  </r>
  <r>
    <x v="96"/>
    <s v="NB"/>
    <s v="F"/>
    <s v="301"/>
    <d v="2015-12-15T00:00:00"/>
    <s v="108647     HASTINGS DEERING VHI (PNG) LTD"/>
    <s v=""/>
    <s v=""/>
  </r>
  <r>
    <x v="97"/>
    <s v="NB"/>
    <s v="F"/>
    <s v="301"/>
    <d v="2015-12-15T00:00:00"/>
    <s v="108647     HASTINGS DEERING VHI (PNG) LTD"/>
    <s v=""/>
    <s v=""/>
  </r>
  <r>
    <x v="98"/>
    <s v="NB"/>
    <s v="F"/>
    <s v="301"/>
    <d v="2015-12-15T00:00:00"/>
    <s v="108647     HASTINGS DEERING VHI (PNG) LTD"/>
    <s v=""/>
    <s v=""/>
  </r>
  <r>
    <x v="99"/>
    <s v="NB"/>
    <s v="F"/>
    <s v="301"/>
    <d v="2015-12-15T00:00:00"/>
    <s v="108647     HASTINGS DEERING VHI (PNG) LTD"/>
    <s v=""/>
    <s v=""/>
  </r>
  <r>
    <x v="100"/>
    <s v="NB"/>
    <s v="F"/>
    <s v="302"/>
    <d v="2015-12-15T00:00:00"/>
    <s v="101233     HARTAC SALES &amp; DISTRIBUTION PTY LTD"/>
    <s v=""/>
    <s v="4110425126"/>
  </r>
  <r>
    <x v="101"/>
    <s v="NB"/>
    <s v="F"/>
    <s v="301"/>
    <d v="2015-12-15T00:00:00"/>
    <s v="108647     HASTINGS DEERING VHI (PNG) LTD"/>
    <s v=""/>
    <s v=""/>
  </r>
  <r>
    <x v="102"/>
    <s v="NB"/>
    <s v="F"/>
    <s v="301"/>
    <d v="2015-12-15T00:00:00"/>
    <s v="108647     HASTINGS DEERING VHI (PNG) LTD"/>
    <s v=""/>
    <s v=""/>
  </r>
  <r>
    <x v="103"/>
    <s v="NB"/>
    <s v="F"/>
    <s v="301"/>
    <d v="2015-12-15T00:00:00"/>
    <s v="108647     HASTINGS DEERING VHI (PNG) LTD"/>
    <s v=""/>
    <s v=""/>
  </r>
  <r>
    <x v="104"/>
    <s v="NB"/>
    <s v="F"/>
    <s v="302"/>
    <d v="2015-12-15T00:00:00"/>
    <s v="106442     PIRTEK TOWNSVILLE P/L"/>
    <s v=""/>
    <s v=""/>
  </r>
  <r>
    <x v="105"/>
    <s v="NB"/>
    <s v="F"/>
    <s v="301"/>
    <d v="2015-12-15T00:00:00"/>
    <s v="108647     HASTINGS DEERING VHI (PNG) LTD"/>
    <s v=""/>
    <s v=""/>
  </r>
  <r>
    <x v="106"/>
    <s v="NB"/>
    <s v="F"/>
    <s v="303"/>
    <d v="2015-12-15T00:00:00"/>
    <s v="1          PHYMING SOUNDZ MEDIA LTD"/>
    <s v="D"/>
    <s v="4110501112"/>
  </r>
  <r>
    <x v="107"/>
    <s v="NB"/>
    <s v="F"/>
    <s v="302"/>
    <d v="2015-12-15T00:00:00"/>
    <s v="106107     RABAUL METAL INDUSTRIES"/>
    <s v=""/>
    <s v=""/>
  </r>
  <r>
    <x v="108"/>
    <s v="NB"/>
    <s v="F"/>
    <s v="302"/>
    <d v="2015-12-15T00:00:00"/>
    <s v="106096     PLUMTRADE P/L"/>
    <s v=""/>
    <s v=""/>
  </r>
  <r>
    <x v="109"/>
    <s v="NB"/>
    <s v="F"/>
    <s v="303"/>
    <d v="2015-12-15T00:00:00"/>
    <s v="108599     NATIONWIDE SCAFFOLDING SERVICES"/>
    <s v="D"/>
    <s v="4110425125"/>
  </r>
  <r>
    <x v="110"/>
    <s v="NB"/>
    <s v="F"/>
    <s v="301"/>
    <d v="2015-12-15T00:00:00"/>
    <s v="108647     HASTINGS DEERING VHI (PNG) LTD"/>
    <s v=""/>
    <s v=""/>
  </r>
  <r>
    <x v="111"/>
    <s v="NB"/>
    <s v="F"/>
    <s v="302"/>
    <d v="2015-12-15T00:00:00"/>
    <s v="106481     EXPAC QLD PTY LTD UNIT TRUST"/>
    <s v=""/>
    <s v="4110501118"/>
  </r>
  <r>
    <x v="112"/>
    <s v="NB"/>
    <s v="F"/>
    <s v="301"/>
    <d v="2015-12-15T00:00:00"/>
    <s v="108647     HASTINGS DEERING VHI (PNG) LTD"/>
    <s v=""/>
    <s v=""/>
  </r>
  <r>
    <x v="113"/>
    <s v="NB"/>
    <s v="F"/>
    <s v="301"/>
    <d v="2015-12-15T00:00:00"/>
    <s v="108647     HASTINGS DEERING VHI (PNG) LTD"/>
    <s v=""/>
    <s v=""/>
  </r>
  <r>
    <x v="114"/>
    <s v="NB"/>
    <s v="F"/>
    <s v="301"/>
    <d v="2015-12-16T00:00:00"/>
    <s v="108647     HASTINGS DEERING VHI (PNG) LTD"/>
    <s v=""/>
    <s v=""/>
  </r>
  <r>
    <x v="115"/>
    <s v="NB"/>
    <s v="F"/>
    <s v="303"/>
    <d v="2015-12-16T00:00:00"/>
    <s v="102910     WORLEYPARSONS SERVICES PTY LTD"/>
    <s v="D"/>
    <s v=""/>
  </r>
  <r>
    <x v="116"/>
    <s v="NB"/>
    <s v="F"/>
    <s v="301"/>
    <d v="2015-12-16T00:00:00"/>
    <s v="108647     HASTINGS DEERING VHI (PNG) LTD"/>
    <s v=""/>
    <s v=""/>
  </r>
  <r>
    <x v="117"/>
    <s v="NB"/>
    <s v="F"/>
    <s v="302"/>
    <d v="2015-12-16T00:00:00"/>
    <s v="106822     ANITUA HARDWARE LTD"/>
    <s v=""/>
    <s v="4110425100"/>
  </r>
  <r>
    <x v="118"/>
    <s v="NB"/>
    <s v="F"/>
    <s v="301"/>
    <d v="2015-12-16T00:00:00"/>
    <s v="108647     HASTINGS DEERING VHI (PNG) LTD"/>
    <s v=""/>
    <s v=""/>
  </r>
  <r>
    <x v="119"/>
    <s v="NB"/>
    <s v="F"/>
    <s v="301"/>
    <d v="2015-12-16T00:00:00"/>
    <s v="108647     HASTINGS DEERING VHI (PNG) LTD"/>
    <s v=""/>
    <s v=""/>
  </r>
  <r>
    <x v="120"/>
    <s v="NB"/>
    <s v="F"/>
    <s v="301"/>
    <d v="2015-12-16T00:00:00"/>
    <s v="108647     HASTINGS DEERING VHI (PNG) LTD"/>
    <s v=""/>
    <s v=""/>
  </r>
  <r>
    <x v="121"/>
    <s v="NB"/>
    <s v="F"/>
    <s v="301"/>
    <d v="2015-12-16T00:00:00"/>
    <s v="108647     HASTINGS DEERING VHI (PNG) LTD"/>
    <s v=""/>
    <s v=""/>
  </r>
  <r>
    <x v="122"/>
    <s v="NB"/>
    <s v="F"/>
    <s v="301"/>
    <d v="2015-12-16T00:00:00"/>
    <s v="108647     HASTINGS DEERING VHI (PNG) LTD"/>
    <s v=""/>
    <s v=""/>
  </r>
  <r>
    <x v="123"/>
    <s v="NB"/>
    <s v="F"/>
    <s v="301"/>
    <d v="2015-12-16T00:00:00"/>
    <s v="108647     HASTINGS DEERING VHI (PNG) LTD"/>
    <s v=""/>
    <s v=""/>
  </r>
  <r>
    <x v="124"/>
    <s v="NB"/>
    <s v="F"/>
    <s v="301"/>
    <d v="2015-12-16T00:00:00"/>
    <s v="108647     HASTINGS DEERING VHI (PNG) LTD"/>
    <s v=""/>
    <s v=""/>
  </r>
  <r>
    <x v="125"/>
    <s v="NB"/>
    <s v="F"/>
    <s v="301"/>
    <d v="2015-12-16T00:00:00"/>
    <s v="108647     HASTINGS DEERING VHI (PNG) LTD"/>
    <s v=""/>
    <s v=""/>
  </r>
  <r>
    <x v="126"/>
    <s v="NB"/>
    <s v="F"/>
    <s v="301"/>
    <d v="2015-12-16T00:00:00"/>
    <s v="108647     HASTINGS DEERING VHI (PNG) LTD"/>
    <s v=""/>
    <s v=""/>
  </r>
  <r>
    <x v="127"/>
    <s v="NB"/>
    <s v="F"/>
    <s v="301"/>
    <d v="2015-12-16T00:00:00"/>
    <s v="108647     HASTINGS DEERING VHI (PNG) LTD"/>
    <s v=""/>
    <s v=""/>
  </r>
  <r>
    <x v="128"/>
    <s v="NB"/>
    <s v="F"/>
    <s v="301"/>
    <d v="2015-12-16T00:00:00"/>
    <s v="108647     HASTINGS DEERING VHI (PNG) LTD"/>
    <s v=""/>
    <s v=""/>
  </r>
  <r>
    <x v="129"/>
    <s v="NB"/>
    <s v="F"/>
    <s v="301"/>
    <d v="2015-12-16T00:00:00"/>
    <s v="108647     HASTINGS DEERING VHI (PNG) LTD"/>
    <s v=""/>
    <s v=""/>
  </r>
  <r>
    <x v="130"/>
    <s v="NB"/>
    <s v="F"/>
    <s v="301"/>
    <d v="2015-12-16T00:00:00"/>
    <s v="108647     HASTINGS DEERING VHI (PNG) LTD"/>
    <s v=""/>
    <s v=""/>
  </r>
  <r>
    <x v="131"/>
    <s v="NB"/>
    <s v="F"/>
    <s v="303"/>
    <d v="2015-12-16T00:00:00"/>
    <s v="107515     LIHIR BUSINESS SERVICES LTD"/>
    <s v="D"/>
    <s v=""/>
  </r>
  <r>
    <x v="132"/>
    <s v="NB"/>
    <s v="F"/>
    <s v="301"/>
    <d v="2015-12-16T00:00:00"/>
    <s v="108647     HASTINGS DEERING VHI (PNG) LTD"/>
    <s v=""/>
    <s v=""/>
  </r>
  <r>
    <x v="133"/>
    <s v="NB"/>
    <s v="F"/>
    <s v="301"/>
    <d v="2015-12-16T00:00:00"/>
    <s v="108647     HASTINGS DEERING VHI (PNG) LTD"/>
    <s v=""/>
    <s v=""/>
  </r>
  <r>
    <x v="134"/>
    <s v="NB"/>
    <s v="F"/>
    <s v="302"/>
    <d v="2015-12-16T00:00:00"/>
    <s v="107334     WATTYL"/>
    <s v=""/>
    <s v=""/>
  </r>
  <r>
    <x v="135"/>
    <s v="NB"/>
    <s v="F"/>
    <s v="303"/>
    <d v="2015-12-16T00:00:00"/>
    <s v="107515     LIHIR BUSINESS SERVICES LTD"/>
    <s v="D"/>
    <s v="4110423104"/>
  </r>
  <r>
    <x v="136"/>
    <s v="NB"/>
    <s v="F"/>
    <s v="303"/>
    <d v="2015-12-16T00:00:00"/>
    <s v="106859     PNG HUMAN RESOURCE INSTITUTE INC"/>
    <s v="D"/>
    <s v="4110501123"/>
  </r>
  <r>
    <x v="137"/>
    <s v="NB"/>
    <s v="F"/>
    <s v="302"/>
    <d v="2015-12-16T00:00:00"/>
    <s v="106481     EXPAC QLD PTY LTD UNIT TRUST"/>
    <s v=""/>
    <s v=""/>
  </r>
  <r>
    <x v="138"/>
    <s v="NB"/>
    <s v="F"/>
    <s v="303"/>
    <d v="2015-12-16T00:00:00"/>
    <s v="106830     LIHIR CONTRACTING SERVICES"/>
    <s v="D"/>
    <s v="4110425129"/>
  </r>
  <r>
    <x v="139"/>
    <s v="NB"/>
    <s v="F"/>
    <s v="302"/>
    <d v="2015-12-16T00:00:00"/>
    <s v="106481     EXPAC QLD PTY LTD UNIT TRUST"/>
    <s v=""/>
    <s v=""/>
  </r>
  <r>
    <x v="140"/>
    <s v="NB"/>
    <s v="F"/>
    <s v="301"/>
    <d v="2015-12-16T00:00:00"/>
    <s v="108647     HASTINGS DEERING VHI (PNG) LTD"/>
    <s v=""/>
    <s v=""/>
  </r>
  <r>
    <x v="141"/>
    <s v="NB"/>
    <s v="F"/>
    <s v="301"/>
    <d v="2015-12-16T00:00:00"/>
    <s v="107284     HIP POCKET WORKWEAR &amp; SAFETY LTD"/>
    <s v=""/>
    <s v=""/>
  </r>
  <r>
    <x v="142"/>
    <s v="NB"/>
    <s v="F"/>
    <s v="301"/>
    <d v="2015-12-16T00:00:00"/>
    <s v="107284     HIP POCKET WORKWEAR &amp; SAFETY LTD"/>
    <s v=""/>
    <s v="4110422116"/>
  </r>
  <r>
    <x v="143"/>
    <s v="NB"/>
    <s v="F"/>
    <s v="301"/>
    <d v="2015-12-16T00:00:00"/>
    <s v="107284     HIP POCKET WORKWEAR &amp; SAFETY LTD"/>
    <s v=""/>
    <s v="4110421101"/>
  </r>
  <r>
    <x v="144"/>
    <s v="NB"/>
    <s v="F"/>
    <s v="301"/>
    <d v="2015-12-16T00:00:00"/>
    <s v="107284     HIP POCKET WORKWEAR &amp; SAFETY LTD"/>
    <s v=""/>
    <s v="4110422100"/>
  </r>
  <r>
    <x v="144"/>
    <s v="NB"/>
    <s v="F"/>
    <s v="301"/>
    <d v="2015-12-16T00:00:00"/>
    <s v="107284     HIP POCKET WORKWEAR &amp; SAFETY LTD"/>
    <s v=""/>
    <s v="4110431101"/>
  </r>
  <r>
    <x v="145"/>
    <s v="NB"/>
    <s v="F"/>
    <s v="301"/>
    <d v="2015-12-16T00:00:00"/>
    <s v="107284     HIP POCKET WORKWEAR &amp; SAFETY LTD"/>
    <s v=""/>
    <s v="4110431101"/>
  </r>
  <r>
    <x v="145"/>
    <s v="NB"/>
    <s v="F"/>
    <s v="301"/>
    <d v="2015-12-16T00:00:00"/>
    <s v="107284     HIP POCKET WORKWEAR &amp; SAFETY LTD"/>
    <s v=""/>
    <s v="4110423104"/>
  </r>
  <r>
    <x v="146"/>
    <s v="NB"/>
    <s v="F"/>
    <s v="301"/>
    <d v="2015-12-16T00:00:00"/>
    <s v="107284     HIP POCKET WORKWEAR &amp; SAFETY LTD"/>
    <s v=""/>
    <s v=""/>
  </r>
  <r>
    <x v="147"/>
    <s v="NB"/>
    <s v="F"/>
    <s v="302"/>
    <d v="2015-12-16T00:00:00"/>
    <s v="100338     J BLACKWOODS &amp; SON PTY LTD"/>
    <s v=""/>
    <s v="4110425116"/>
  </r>
  <r>
    <x v="148"/>
    <s v="NB"/>
    <s v="F"/>
    <s v="302"/>
    <d v="2015-12-16T00:00:00"/>
    <s v="102612     TEREX AUSTRALIA T/A TEREX JAQUES"/>
    <s v=""/>
    <s v=""/>
  </r>
  <r>
    <x v="149"/>
    <s v="NB"/>
    <s v="F"/>
    <s v="302"/>
    <d v="2015-12-16T00:00:00"/>
    <s v="107234     BRISBANE ISUZU"/>
    <s v=""/>
    <s v=""/>
  </r>
  <r>
    <x v="150"/>
    <s v="NB"/>
    <s v="F"/>
    <s v="301"/>
    <d v="2015-12-16T00:00:00"/>
    <s v="107284     HIP POCKET WORKWEAR &amp; SAFETY LTD"/>
    <s v=""/>
    <s v="4110501101"/>
  </r>
  <r>
    <x v="151"/>
    <s v="NB"/>
    <s v="F"/>
    <s v="301"/>
    <d v="2015-12-16T00:00:00"/>
    <s v="108647     HASTINGS DEERING VHI (PNG) LTD"/>
    <s v=""/>
    <s v=""/>
  </r>
  <r>
    <x v="152"/>
    <s v="NB"/>
    <s v="F"/>
    <s v="301"/>
    <d v="2015-12-16T00:00:00"/>
    <s v="108647     HASTINGS DEERING VHI (PNG) LTD"/>
    <s v=""/>
    <s v=""/>
  </r>
  <r>
    <x v="153"/>
    <s v="NB"/>
    <s v="F"/>
    <s v="302"/>
    <d v="2015-12-16T00:00:00"/>
    <s v="107031     PROCUREIT AUSTRALIA PTY LTD"/>
    <s v=""/>
    <s v=""/>
  </r>
  <r>
    <x v="154"/>
    <s v="NB"/>
    <s v="F"/>
    <s v="306"/>
    <d v="2015-12-16T00:00:00"/>
    <s v="107696     HAYMANS ELECTRICAL"/>
    <s v=""/>
    <s v=""/>
  </r>
  <r>
    <x v="155"/>
    <s v="NB"/>
    <s v="F"/>
    <s v="303"/>
    <d v="2015-12-16T00:00:00"/>
    <s v="108430     SETCH DESIGN PTY LTD"/>
    <s v="D"/>
    <s v="4110423106"/>
  </r>
  <r>
    <x v="156"/>
    <s v="NB"/>
    <s v="F"/>
    <s v="301"/>
    <d v="2015-12-16T00:00:00"/>
    <s v="108647     HASTINGS DEERING VHI (PNG) LTD"/>
    <s v=""/>
    <s v=""/>
  </r>
  <r>
    <x v="157"/>
    <s v="NB"/>
    <s v="F"/>
    <s v="306"/>
    <d v="2015-12-16T00:00:00"/>
    <s v="102270     REXEL INDUSTRIAL AUTOMATION"/>
    <s v=""/>
    <s v="4110501115"/>
  </r>
  <r>
    <x v="158"/>
    <s v="NB"/>
    <s v="F"/>
    <s v="302"/>
    <d v="2015-12-16T00:00:00"/>
    <s v="102301     ROCKLABS LTD"/>
    <s v=""/>
    <s v="4110421106"/>
  </r>
  <r>
    <x v="159"/>
    <s v="NB"/>
    <s v="F"/>
    <s v="302"/>
    <d v="2015-12-16T00:00:00"/>
    <s v="100338     J BLACKWOODS &amp; SON PTY LTD"/>
    <s v=""/>
    <s v=""/>
  </r>
  <r>
    <x v="160"/>
    <s v="NB"/>
    <s v="F"/>
    <s v="301"/>
    <d v="2015-12-16T00:00:00"/>
    <s v="108647     HASTINGS DEERING VHI (PNG) LTD"/>
    <s v=""/>
    <s v=""/>
  </r>
  <r>
    <x v="161"/>
    <s v="NB"/>
    <s v="F"/>
    <s v="301"/>
    <d v="2015-12-16T00:00:00"/>
    <s v="108647     HASTINGS DEERING VHI (PNG) LTD"/>
    <s v=""/>
    <s v=""/>
  </r>
  <r>
    <x v="162"/>
    <s v="NB"/>
    <s v="F"/>
    <s v="306"/>
    <d v="2015-12-16T00:00:00"/>
    <s v="106481     EXPAC QLD PTY LTD UNIT TRUST"/>
    <s v=""/>
    <s v=""/>
  </r>
  <r>
    <x v="163"/>
    <s v="NB"/>
    <s v="F"/>
    <s v="301"/>
    <d v="2015-12-16T00:00:00"/>
    <s v="108647     HASTINGS DEERING VHI (PNG) LTD"/>
    <s v=""/>
    <s v=""/>
  </r>
  <r>
    <x v="164"/>
    <s v="NB"/>
    <s v="F"/>
    <s v="301"/>
    <d v="2015-12-16T00:00:00"/>
    <s v="108647     HASTINGS DEERING VHI (PNG) LTD"/>
    <s v=""/>
    <s v=""/>
  </r>
  <r>
    <x v="165"/>
    <s v="NB"/>
    <s v="F"/>
    <s v="302"/>
    <d v="2015-12-16T00:00:00"/>
    <s v="104691     HASTINGS DEERING AUSTRALIA LTD"/>
    <s v=""/>
    <s v=""/>
  </r>
  <r>
    <x v="166"/>
    <s v="NB"/>
    <s v="F"/>
    <s v="301"/>
    <d v="2015-12-16T00:00:00"/>
    <s v="108647     HASTINGS DEERING VHI (PNG) LTD"/>
    <s v=""/>
    <s v=""/>
  </r>
  <r>
    <x v="167"/>
    <s v="NB"/>
    <s v="F"/>
    <s v="302"/>
    <d v="2015-12-16T00:00:00"/>
    <s v="108885     GENIE AUSTRALIA"/>
    <s v=""/>
    <s v=""/>
  </r>
  <r>
    <x v="168"/>
    <s v="NB"/>
    <s v="F"/>
    <s v="301"/>
    <d v="2015-12-16T00:00:00"/>
    <s v="108647     HASTINGS DEERING VHI (PNG) LTD"/>
    <s v=""/>
    <s v=""/>
  </r>
  <r>
    <x v="169"/>
    <s v="NB"/>
    <s v="F"/>
    <s v="301"/>
    <d v="2015-12-16T00:00:00"/>
    <s v="108647     HASTINGS DEERING VHI (PNG) LTD"/>
    <s v=""/>
    <s v=""/>
  </r>
  <r>
    <x v="170"/>
    <s v="NB"/>
    <s v="F"/>
    <s v="302"/>
    <d v="2015-12-16T00:00:00"/>
    <s v="106822     ANITUA HARDWARE LTD"/>
    <s v=""/>
    <s v=""/>
  </r>
  <r>
    <x v="171"/>
    <s v="NB"/>
    <s v="F"/>
    <s v="302"/>
    <d v="2015-12-16T00:00:00"/>
    <s v="107131     JENNINGS PARTS COMPANY"/>
    <s v=""/>
    <s v=""/>
  </r>
  <r>
    <x v="172"/>
    <s v="NB"/>
    <s v="F"/>
    <s v="302"/>
    <d v="2015-12-16T00:00:00"/>
    <s v="106481     EXPAC QLD PTY LTD UNIT TRUST"/>
    <s v=""/>
    <s v=""/>
  </r>
  <r>
    <x v="173"/>
    <s v="NB"/>
    <s v="F"/>
    <s v="302"/>
    <d v="2015-12-16T00:00:00"/>
    <s v="106481     EXPAC QLD PTY LTD UNIT TRUST"/>
    <s v=""/>
    <s v=""/>
  </r>
  <r>
    <x v="174"/>
    <s v="NB"/>
    <s v="F"/>
    <s v="303"/>
    <d v="2015-12-16T00:00:00"/>
    <s v="108430     SETCH DESIGN PTY LTD"/>
    <s v="D"/>
    <s v=""/>
  </r>
  <r>
    <x v="175"/>
    <s v="NB"/>
    <s v="F"/>
    <s v="301"/>
    <d v="2015-12-16T00:00:00"/>
    <s v="108647     HASTINGS DEERING VHI (PNG) LTD"/>
    <s v=""/>
    <s v=""/>
  </r>
  <r>
    <x v="176"/>
    <s v="NB"/>
    <s v="F"/>
    <s v="301"/>
    <d v="2015-12-16T00:00:00"/>
    <s v="108647     HASTINGS DEERING VHI (PNG) LTD"/>
    <s v=""/>
    <s v=""/>
  </r>
  <r>
    <x v="177"/>
    <s v="NB"/>
    <s v="F"/>
    <s v="301"/>
    <d v="2015-12-16T00:00:00"/>
    <s v="108647     HASTINGS DEERING VHI (PNG) LTD"/>
    <s v=""/>
    <s v=""/>
  </r>
  <r>
    <x v="178"/>
    <s v="NB"/>
    <s v="F"/>
    <s v="301"/>
    <d v="2015-12-16T00:00:00"/>
    <s v="108647     HASTINGS DEERING VHI (PNG) LTD"/>
    <s v=""/>
    <s v=""/>
  </r>
  <r>
    <x v="179"/>
    <s v="NB"/>
    <s v="F"/>
    <s v="301"/>
    <d v="2015-12-16T00:00:00"/>
    <s v="108647     HASTINGS DEERING VHI (PNG) LTD"/>
    <s v=""/>
    <s v=""/>
  </r>
  <r>
    <x v="180"/>
    <s v="NB"/>
    <s v="F"/>
    <s v="301"/>
    <d v="2015-12-16T00:00:00"/>
    <s v="108647     HASTINGS DEERING VHI (PNG) LTD"/>
    <s v=""/>
    <s v=""/>
  </r>
  <r>
    <x v="181"/>
    <s v="NB"/>
    <s v="F"/>
    <s v="301"/>
    <d v="2015-12-16T00:00:00"/>
    <s v="108647     HASTINGS DEERING VHI (PNG) LTD"/>
    <s v=""/>
    <s v=""/>
  </r>
  <r>
    <x v="182"/>
    <s v="NB"/>
    <s v="F"/>
    <s v="301"/>
    <d v="2015-12-16T00:00:00"/>
    <s v="108647     HASTINGS DEERING VHI (PNG) LTD"/>
    <s v=""/>
    <s v=""/>
  </r>
  <r>
    <x v="183"/>
    <s v="NB"/>
    <s v="F"/>
    <s v="301"/>
    <d v="2015-12-16T00:00:00"/>
    <s v="108647     HASTINGS DEERING VHI (PNG) LTD"/>
    <s v=""/>
    <s v=""/>
  </r>
  <r>
    <x v="184"/>
    <s v="NB"/>
    <s v="F"/>
    <s v="301"/>
    <d v="2015-12-16T00:00:00"/>
    <s v="108647     HASTINGS DEERING VHI (PNG) LTD"/>
    <s v=""/>
    <s v=""/>
  </r>
  <r>
    <x v="185"/>
    <s v="NB"/>
    <s v="F"/>
    <s v="301"/>
    <d v="2015-12-17T00:00:00"/>
    <s v="108647     HASTINGS DEERING VHI (PNG) LTD"/>
    <s v=""/>
    <s v=""/>
  </r>
  <r>
    <x v="186"/>
    <s v="NB"/>
    <s v="F"/>
    <s v="301"/>
    <d v="2015-12-17T00:00:00"/>
    <s v="108647     HASTINGS DEERING VHI (PNG) LTD"/>
    <s v=""/>
    <s v=""/>
  </r>
  <r>
    <x v="187"/>
    <s v="NB"/>
    <s v="F"/>
    <s v="302"/>
    <d v="2015-12-17T00:00:00"/>
    <s v="106212     LIHIR AUTO SERVICES (ELA MOTORS)"/>
    <s v=""/>
    <s v=""/>
  </r>
  <r>
    <x v="188"/>
    <s v="NB"/>
    <s v="F"/>
    <s v="302"/>
    <d v="2015-12-17T00:00:00"/>
    <s v="107284     HIP POCKET WORKWEAR &amp; SAFETY LTD"/>
    <s v=""/>
    <s v="4110401102"/>
  </r>
  <r>
    <x v="189"/>
    <s v="NB"/>
    <s v="F"/>
    <s v="302"/>
    <d v="2015-12-17T00:00:00"/>
    <s v="107696     HAYMANS ELECTRICAL"/>
    <s v=""/>
    <s v=""/>
  </r>
  <r>
    <x v="190"/>
    <s v="NB"/>
    <s v="F"/>
    <s v="302"/>
    <d v="2015-12-17T00:00:00"/>
    <s v="102270     REXEL INDUSTRIAL AUTOMATION"/>
    <s v=""/>
    <s v=""/>
  </r>
  <r>
    <x v="191"/>
    <s v="NB"/>
    <s v="F"/>
    <s v="302"/>
    <d v="2015-12-17T00:00:00"/>
    <s v="100338     J BLACKWOODS &amp; SON PTY LTD"/>
    <s v=""/>
    <s v=""/>
  </r>
  <r>
    <x v="192"/>
    <s v="NB"/>
    <s v="F"/>
    <s v="302"/>
    <d v="2015-12-17T00:00:00"/>
    <s v="106063     CNW PTY LTD"/>
    <s v=""/>
    <s v=""/>
  </r>
  <r>
    <x v="193"/>
    <s v="NB"/>
    <s v="F"/>
    <s v="303"/>
    <d v="2015-12-17T00:00:00"/>
    <s v="100434     BUREAU VERITAS (AIRS) AUST PTY LTD"/>
    <s v="D"/>
    <s v=""/>
  </r>
  <r>
    <x v="194"/>
    <s v="NB"/>
    <s v="F"/>
    <s v="301"/>
    <d v="2015-12-17T00:00:00"/>
    <s v="108647     HASTINGS DEERING VHI (PNG) LTD"/>
    <s v=""/>
    <s v=""/>
  </r>
  <r>
    <x v="195"/>
    <s v="NB"/>
    <s v="F"/>
    <s v="303"/>
    <d v="2015-12-17T00:00:00"/>
    <s v="106476     PLACEMENTS SOLBOW JOINT VENTURE"/>
    <s v="D"/>
    <s v="4110425125"/>
  </r>
  <r>
    <x v="196"/>
    <s v="NB"/>
    <s v="F"/>
    <s v="301"/>
    <d v="2015-12-17T00:00:00"/>
    <s v="108647     HASTINGS DEERING VHI (PNG) LTD"/>
    <s v=""/>
    <s v=""/>
  </r>
  <r>
    <x v="197"/>
    <s v="NB"/>
    <s v="F"/>
    <s v="303"/>
    <d v="2015-12-17T00:00:00"/>
    <s v="106830     LIHIR CONTRACTING SERVICES"/>
    <s v="D"/>
    <s v=""/>
  </r>
  <r>
    <x v="198"/>
    <s v="NB"/>
    <s v="F"/>
    <s v="302"/>
    <d v="2015-12-17T00:00:00"/>
    <s v="100764     DELL AUSTRALIA PTY LTD"/>
    <s v=""/>
    <s v="4110401100"/>
  </r>
  <r>
    <x v="199"/>
    <s v="NB"/>
    <s v="F"/>
    <s v="303"/>
    <d v="2015-12-17T00:00:00"/>
    <s v="106830     LIHIR CONTRACTING SERVICES"/>
    <s v="D"/>
    <s v=""/>
  </r>
  <r>
    <x v="200"/>
    <s v="NB"/>
    <s v="F"/>
    <s v="301"/>
    <d v="2015-12-17T00:00:00"/>
    <s v="107284     HIP POCKET WORKWEAR &amp; SAFETY LTD"/>
    <s v=""/>
    <s v="4110405109"/>
  </r>
  <r>
    <x v="200"/>
    <s v="NB"/>
    <s v="F"/>
    <s v="301"/>
    <d v="2015-12-17T00:00:00"/>
    <s v="107284     HIP POCKET WORKWEAR &amp; SAFETY LTD"/>
    <s v=""/>
    <s v="4110401110"/>
  </r>
  <r>
    <x v="200"/>
    <s v="NB"/>
    <s v="F"/>
    <s v="301"/>
    <d v="2015-12-17T00:00:00"/>
    <s v="107284     HIP POCKET WORKWEAR &amp; SAFETY LTD"/>
    <s v=""/>
    <s v="4110432103"/>
  </r>
  <r>
    <x v="201"/>
    <s v="NB"/>
    <s v="F"/>
    <s v="301"/>
    <d v="2015-12-17T00:00:00"/>
    <s v="107284     HIP POCKET WORKWEAR &amp; SAFETY LTD"/>
    <s v=""/>
    <s v="4110501131"/>
  </r>
  <r>
    <x v="202"/>
    <s v="NB"/>
    <s v="F"/>
    <s v="302"/>
    <d v="2015-12-17T00:00:00"/>
    <s v="106248     HASTINGS DEERING (PNG) (LIHIR NON-V"/>
    <s v=""/>
    <s v=""/>
  </r>
  <r>
    <x v="203"/>
    <s v="NB"/>
    <s v="F"/>
    <s v="301"/>
    <d v="2015-12-17T00:00:00"/>
    <s v="108647     HASTINGS DEERING VHI (PNG) LTD"/>
    <s v=""/>
    <s v=""/>
  </r>
  <r>
    <x v="204"/>
    <s v="NB"/>
    <s v="F"/>
    <s v="302"/>
    <d v="2015-12-17T00:00:00"/>
    <s v="101154     FLSMIDTH PTY LTD"/>
    <s v=""/>
    <s v=""/>
  </r>
  <r>
    <x v="205"/>
    <s v="NB"/>
    <s v="F"/>
    <s v="304"/>
    <d v="2015-12-17T00:00:00"/>
    <s v="109796     CALDERA ENGINEERING"/>
    <s v=""/>
    <s v=""/>
  </r>
  <r>
    <x v="206"/>
    <s v="NB"/>
    <s v="F"/>
    <s v="306"/>
    <d v="2015-12-17T00:00:00"/>
    <s v="102529     STIRLINGS AUSTRALIA"/>
    <s v=""/>
    <s v="4110501115"/>
  </r>
  <r>
    <x v="206"/>
    <s v="NB"/>
    <s v="F"/>
    <s v="306"/>
    <d v="2015-12-17T00:00:00"/>
    <s v="102529     STIRLINGS AUSTRALIA"/>
    <s v=""/>
    <s v=""/>
  </r>
  <r>
    <x v="207"/>
    <s v="NB"/>
    <s v="F"/>
    <s v="302"/>
    <d v="2015-12-17T00:00:00"/>
    <s v="106129     AKZO NOBEL LTD"/>
    <s v=""/>
    <s v=""/>
  </r>
  <r>
    <x v="208"/>
    <s v="NB"/>
    <s v="F"/>
    <s v="302"/>
    <d v="2015-12-17T00:00:00"/>
    <s v="108082     MHE-DEMAG (S) P/L"/>
    <s v=""/>
    <s v=""/>
  </r>
  <r>
    <x v="209"/>
    <s v="NB"/>
    <s v="F"/>
    <s v="302"/>
    <d v="2015-12-17T00:00:00"/>
    <s v="100338     J BLACKWOODS &amp; SON PTY LTD"/>
    <s v=""/>
    <s v=""/>
  </r>
  <r>
    <x v="210"/>
    <s v="NB"/>
    <s v="F"/>
    <s v="301"/>
    <d v="2015-12-17T00:00:00"/>
    <s v="108647     HASTINGS DEERING VHI (PNG) LTD"/>
    <s v=""/>
    <s v=""/>
  </r>
  <r>
    <x v="211"/>
    <s v="NB"/>
    <s v="F"/>
    <s v="301"/>
    <d v="2015-12-17T00:00:00"/>
    <s v="108647     HASTINGS DEERING VHI (PNG) LTD"/>
    <s v=""/>
    <s v=""/>
  </r>
  <r>
    <x v="212"/>
    <s v="NB"/>
    <s v="F"/>
    <s v="302"/>
    <d v="2015-12-17T00:00:00"/>
    <s v="104691     HASTINGS DEERING AUSTRALIA LTD"/>
    <s v=""/>
    <s v=""/>
  </r>
  <r>
    <x v="213"/>
    <s v="NB"/>
    <s v="F"/>
    <s v="302"/>
    <d v="2015-12-17T00:00:00"/>
    <s v="104691     HASTINGS DEERING AUSTRALIA LTD"/>
    <s v=""/>
    <s v=""/>
  </r>
  <r>
    <x v="214"/>
    <s v="NB"/>
    <s v="F"/>
    <s v="302"/>
    <d v="2015-12-17T00:00:00"/>
    <s v="106481     EXPAC QLD PTY LTD UNIT TRUST"/>
    <s v=""/>
    <s v=""/>
  </r>
  <r>
    <x v="215"/>
    <s v="NB"/>
    <s v="F"/>
    <s v="302"/>
    <d v="2015-12-17T00:00:00"/>
    <s v="106481     EXPAC QLD PTY LTD UNIT TRUST"/>
    <s v=""/>
    <s v=""/>
  </r>
  <r>
    <x v="216"/>
    <s v="NB"/>
    <s v="F"/>
    <s v="302"/>
    <d v="2015-12-17T00:00:00"/>
    <s v="106576     FINLAY SCREENING &amp; CRUSHING"/>
    <s v=""/>
    <s v=""/>
  </r>
  <r>
    <x v="217"/>
    <s v="NB"/>
    <s v="F"/>
    <s v="302"/>
    <d v="2015-12-17T00:00:00"/>
    <s v="109257     JACKSON &amp; JACKSON REFRIGERATION"/>
    <s v=""/>
    <s v=""/>
  </r>
  <r>
    <x v="218"/>
    <s v="NB"/>
    <s v="F"/>
    <s v="302"/>
    <d v="2015-12-17T00:00:00"/>
    <s v="107103     ATLAS STEELS"/>
    <s v=""/>
    <s v=""/>
  </r>
  <r>
    <x v="219"/>
    <s v="NB"/>
    <s v="F"/>
    <s v="302"/>
    <d v="2015-12-17T00:00:00"/>
    <s v="104900     ALIVA PTY LTD"/>
    <s v=""/>
    <s v="4110401110"/>
  </r>
  <r>
    <x v="220"/>
    <s v="NB"/>
    <s v="F"/>
    <s v="303"/>
    <d v="2015-12-17T00:00:00"/>
    <s v="109873     AVANTIX"/>
    <s v="D"/>
    <s v="4110501115"/>
  </r>
  <r>
    <x v="221"/>
    <s v="NB"/>
    <s v="F"/>
    <s v="301"/>
    <d v="2015-12-17T00:00:00"/>
    <s v="108647     HASTINGS DEERING VHI (PNG) LTD"/>
    <s v=""/>
    <s v=""/>
  </r>
  <r>
    <x v="222"/>
    <s v="NB"/>
    <s v="F"/>
    <s v="301"/>
    <d v="2015-12-17T00:00:00"/>
    <s v="108647     HASTINGS DEERING VHI (PNG) LTD"/>
    <s v=""/>
    <s v=""/>
  </r>
  <r>
    <x v="223"/>
    <s v="NB"/>
    <s v="F"/>
    <s v="302"/>
    <d v="2015-12-17T00:00:00"/>
    <s v="106481     EXPAC QLD PTY LTD UNIT TRUST"/>
    <s v=""/>
    <s v=""/>
  </r>
  <r>
    <x v="224"/>
    <s v="NB"/>
    <s v="F"/>
    <s v="302"/>
    <d v="2015-12-17T00:00:00"/>
    <s v="101721     METSO AUSTRALIA LIMITED"/>
    <s v=""/>
    <s v=""/>
  </r>
  <r>
    <x v="225"/>
    <s v="NB"/>
    <s v="F"/>
    <s v="301"/>
    <d v="2015-12-17T00:00:00"/>
    <s v="108647     HASTINGS DEERING VHI (PNG) LTD"/>
    <s v=""/>
    <s v=""/>
  </r>
  <r>
    <x v="226"/>
    <s v="NB"/>
    <s v="F"/>
    <s v="302"/>
    <d v="2015-12-17T00:00:00"/>
    <s v="106212     LIHIR AUTO SERVICES (ELA MOTORS)"/>
    <s v=""/>
    <s v=""/>
  </r>
  <r>
    <x v="227"/>
    <s v="NB"/>
    <s v="F"/>
    <s v="301"/>
    <d v="2015-12-17T00:00:00"/>
    <s v="108647     HASTINGS DEERING VHI (PNG) LTD"/>
    <s v=""/>
    <s v=""/>
  </r>
  <r>
    <x v="228"/>
    <s v="NB"/>
    <s v="F"/>
    <s v="301"/>
    <d v="2015-12-17T00:00:00"/>
    <s v="108647     HASTINGS DEERING VHI (PNG) LTD"/>
    <s v=""/>
    <s v=""/>
  </r>
  <r>
    <x v="229"/>
    <s v="NB"/>
    <s v="F"/>
    <s v="301"/>
    <d v="2015-12-17T00:00:00"/>
    <s v="108647     HASTINGS DEERING VHI (PNG) LTD"/>
    <s v=""/>
    <s v=""/>
  </r>
  <r>
    <x v="230"/>
    <s v="NB"/>
    <s v="F"/>
    <s v="301"/>
    <d v="2015-12-18T00:00:00"/>
    <s v="108647     HASTINGS DEERING VHI (PNG) LTD"/>
    <s v=""/>
    <s v=""/>
  </r>
  <r>
    <x v="231"/>
    <s v="NB"/>
    <s v="F"/>
    <s v="301"/>
    <d v="2015-12-18T00:00:00"/>
    <s v="108647     HASTINGS DEERING VHI (PNG) LTD"/>
    <s v=""/>
    <s v=""/>
  </r>
  <r>
    <x v="232"/>
    <s v="NB"/>
    <s v="F"/>
    <s v="301"/>
    <d v="2015-12-18T00:00:00"/>
    <s v="108647     HASTINGS DEERING VHI (PNG) LTD"/>
    <s v=""/>
    <s v=""/>
  </r>
  <r>
    <x v="233"/>
    <s v="NB"/>
    <s v="F"/>
    <s v="301"/>
    <d v="2015-12-18T00:00:00"/>
    <s v="108647     HASTINGS DEERING VHI (PNG) LTD"/>
    <s v=""/>
    <s v=""/>
  </r>
  <r>
    <x v="234"/>
    <s v="NB"/>
    <s v="F"/>
    <s v="301"/>
    <d v="2015-12-18T00:00:00"/>
    <s v="108647     HASTINGS DEERING VHI (PNG) LTD"/>
    <s v=""/>
    <s v=""/>
  </r>
  <r>
    <x v="235"/>
    <s v="NB"/>
    <s v="F"/>
    <s v="302"/>
    <d v="2015-12-18T00:00:00"/>
    <s v="106248     HASTINGS DEERING (PNG) (LIHIR NON-V"/>
    <s v=""/>
    <s v=""/>
  </r>
  <r>
    <x v="236"/>
    <s v="NB"/>
    <s v="F"/>
    <s v="302"/>
    <d v="2015-12-18T00:00:00"/>
    <s v="108434     PENNRAM DIVERSIFIED MANUF. CORP"/>
    <s v=""/>
    <s v="4110425126"/>
  </r>
  <r>
    <x v="237"/>
    <s v="NB"/>
    <s v="F"/>
    <s v="306"/>
    <d v="2015-12-18T00:00:00"/>
    <s v="104283     GOOD VIBRATIONS SENSORS P/L"/>
    <s v=""/>
    <s v="4110501115"/>
  </r>
  <r>
    <x v="238"/>
    <s v="NB"/>
    <s v="F"/>
    <s v="302"/>
    <d v="2015-12-18T00:00:00"/>
    <s v="106699     FASTAIR SERVICES PTY LTD"/>
    <s v=""/>
    <s v=""/>
  </r>
  <r>
    <x v="239"/>
    <s v="NB"/>
    <s v="F"/>
    <s v="301"/>
    <d v="2015-12-18T00:00:00"/>
    <s v="108647     HASTINGS DEERING VHI (PNG) LTD"/>
    <s v=""/>
    <s v=""/>
  </r>
  <r>
    <x v="240"/>
    <s v="NB"/>
    <s v="F"/>
    <s v="302"/>
    <d v="2015-12-18T00:00:00"/>
    <s v="106699     FASTAIR SERVICES PTY LTD"/>
    <s v=""/>
    <s v=""/>
  </r>
  <r>
    <x v="241"/>
    <s v="NB"/>
    <s v="F"/>
    <s v="302"/>
    <d v="2015-12-18T00:00:00"/>
    <s v="108307     MSC SERVICE &amp; SPARES PTY LTD"/>
    <s v=""/>
    <s v=""/>
  </r>
  <r>
    <x v="242"/>
    <s v="NB"/>
    <s v="F"/>
    <s v="303"/>
    <d v="2015-12-18T00:00:00"/>
    <s v="106212     LIHIR AUTO SERVICES (ELA MOTORS)"/>
    <s v="D"/>
    <s v=""/>
  </r>
  <r>
    <x v="243"/>
    <s v="NB"/>
    <s v="F"/>
    <s v="302"/>
    <d v="2015-12-18T00:00:00"/>
    <s v="106699     FASTAIR SERVICES PTY LTD"/>
    <s v=""/>
    <s v=""/>
  </r>
  <r>
    <x v="244"/>
    <s v="NB"/>
    <s v="F"/>
    <s v="301"/>
    <d v="2015-12-18T00:00:00"/>
    <s v="108647     HASTINGS DEERING VHI (PNG) LTD"/>
    <s v=""/>
    <s v=""/>
  </r>
  <r>
    <x v="245"/>
    <s v="NB"/>
    <s v="F"/>
    <s v="303"/>
    <d v="2015-12-18T00:00:00"/>
    <s v="106212     LIHIR AUTO SERVICES (ELA MOTORS)"/>
    <s v="D"/>
    <s v=""/>
  </r>
  <r>
    <x v="246"/>
    <s v="NB"/>
    <s v="F"/>
    <s v="302"/>
    <d v="2015-12-18T00:00:00"/>
    <s v="106699     FASTAIR SERVICES PTY LTD"/>
    <s v=""/>
    <s v=""/>
  </r>
  <r>
    <x v="247"/>
    <s v="NB"/>
    <s v="F"/>
    <s v="302"/>
    <d v="2015-12-18T00:00:00"/>
    <s v="106699     FASTAIR SERVICES PTY LTD"/>
    <s v=""/>
    <s v=""/>
  </r>
  <r>
    <x v="248"/>
    <s v="NB"/>
    <s v="F"/>
    <s v="301"/>
    <d v="2015-12-18T00:00:00"/>
    <s v="108647     HASTINGS DEERING VHI (PNG) LTD"/>
    <s v=""/>
    <s v=""/>
  </r>
  <r>
    <x v="249"/>
    <s v="NB"/>
    <s v="F"/>
    <s v="302"/>
    <d v="2015-12-18T00:00:00"/>
    <s v="106576     FINLAY SCREENING &amp; CRUSHING"/>
    <s v=""/>
    <s v=""/>
  </r>
  <r>
    <x v="250"/>
    <s v="NB"/>
    <s v="F"/>
    <s v="301"/>
    <d v="2015-12-18T00:00:00"/>
    <s v="107284     HIP POCKET WORKWEAR &amp; SAFETY LTD"/>
    <s v=""/>
    <s v="4110501112"/>
  </r>
  <r>
    <x v="251"/>
    <s v="NB"/>
    <s v="F"/>
    <s v="301"/>
    <d v="2015-12-18T00:00:00"/>
    <s v="108647     HASTINGS DEERING VHI (PNG) LTD"/>
    <s v=""/>
    <s v=""/>
  </r>
  <r>
    <x v="252"/>
    <s v="NB"/>
    <s v="F"/>
    <s v="301"/>
    <d v="2015-12-18T00:00:00"/>
    <s v="108647     HASTINGS DEERING VHI (PNG) LTD"/>
    <s v=""/>
    <s v=""/>
  </r>
  <r>
    <x v="253"/>
    <s v="NB"/>
    <s v="F"/>
    <s v="302"/>
    <d v="2015-12-18T00:00:00"/>
    <s v="104691     HASTINGS DEERING AUSTRALIA LTD"/>
    <s v=""/>
    <s v=""/>
  </r>
  <r>
    <x v="254"/>
    <s v="NB"/>
    <s v="F"/>
    <s v="303"/>
    <d v="2015-12-18T00:00:00"/>
    <s v="106830     LIHIR CONTRACTING SERVICES"/>
    <s v="D"/>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O1:P257" firstHeaderRow="1" firstDataRow="1" firstDataCol="1"/>
  <pivotFields count="8">
    <pivotField axis="axisRow" showAll="0">
      <items count="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t="default"/>
      </items>
    </pivotField>
    <pivotField showAll="0"/>
    <pivotField showAll="0"/>
    <pivotField showAll="0"/>
    <pivotField numFmtId="15" showAll="0"/>
    <pivotField showAll="0"/>
    <pivotField showAll="0"/>
    <pivotField dataField="1" showAll="0"/>
  </pivotFields>
  <rowFields count="1">
    <field x="0"/>
  </rowFields>
  <rowItems count="2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t="grand">
      <x/>
    </i>
  </rowItems>
  <colItems count="1">
    <i/>
  </colItems>
  <dataFields count="1">
    <dataField name="Count of Cost Center"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Parameters"/>
  <dimension ref="A1:C20"/>
  <sheetViews>
    <sheetView workbookViewId="0">
      <selection activeCell="B11" sqref="B11"/>
    </sheetView>
  </sheetViews>
  <sheetFormatPr defaultRowHeight="15" x14ac:dyDescent="0.25"/>
  <cols>
    <col min="1" max="1" width="19.140625" bestFit="1" customWidth="1"/>
    <col min="2" max="2" width="28" bestFit="1" customWidth="1"/>
    <col min="3" max="3" width="89.42578125" bestFit="1" customWidth="1"/>
    <col min="5" max="5" width="20.28515625" customWidth="1"/>
  </cols>
  <sheetData>
    <row r="1" spans="1:3" s="1" customFormat="1" x14ac:dyDescent="0.25">
      <c r="A1" s="1" t="s">
        <v>0</v>
      </c>
      <c r="B1" s="1" t="s">
        <v>1</v>
      </c>
      <c r="C1" s="1" t="s">
        <v>2</v>
      </c>
    </row>
    <row r="2" spans="1:3" x14ac:dyDescent="0.25">
      <c r="A2" t="s">
        <v>3</v>
      </c>
      <c r="B2" t="s">
        <v>9</v>
      </c>
      <c r="C2" t="s">
        <v>774</v>
      </c>
    </row>
    <row r="3" spans="1:3" x14ac:dyDescent="0.25">
      <c r="A3" t="s">
        <v>3</v>
      </c>
      <c r="B3" t="s">
        <v>10</v>
      </c>
      <c r="C3" s="3" t="s">
        <v>774</v>
      </c>
    </row>
    <row r="4" spans="1:3" s="3" customFormat="1" x14ac:dyDescent="0.25">
      <c r="A4" s="3" t="s">
        <v>3</v>
      </c>
      <c r="B4" s="3" t="s">
        <v>27</v>
      </c>
      <c r="C4" s="3" t="s">
        <v>774</v>
      </c>
    </row>
    <row r="5" spans="1:3" s="3" customFormat="1" x14ac:dyDescent="0.25">
      <c r="A5" s="3" t="s">
        <v>3</v>
      </c>
      <c r="B5" s="3" t="s">
        <v>33</v>
      </c>
      <c r="C5" s="3" t="s">
        <v>774</v>
      </c>
    </row>
    <row r="6" spans="1:3" s="3" customFormat="1" x14ac:dyDescent="0.25">
      <c r="A6" s="3" t="s">
        <v>3</v>
      </c>
      <c r="B6" s="3" t="s">
        <v>78</v>
      </c>
      <c r="C6" s="3" t="s">
        <v>774</v>
      </c>
    </row>
    <row r="7" spans="1:3" s="3" customFormat="1" x14ac:dyDescent="0.25">
      <c r="A7" s="3" t="s">
        <v>3</v>
      </c>
      <c r="B7" s="3" t="s">
        <v>98</v>
      </c>
      <c r="C7" s="3" t="s">
        <v>97</v>
      </c>
    </row>
    <row r="8" spans="1:3" x14ac:dyDescent="0.25">
      <c r="A8" t="s">
        <v>3</v>
      </c>
      <c r="B8" t="s">
        <v>11</v>
      </c>
      <c r="C8" t="s">
        <v>21</v>
      </c>
    </row>
    <row r="9" spans="1:3" x14ac:dyDescent="0.25">
      <c r="A9" t="s">
        <v>3</v>
      </c>
      <c r="B9" t="s">
        <v>12</v>
      </c>
      <c r="C9" t="s">
        <v>20</v>
      </c>
    </row>
    <row r="10" spans="1:3" x14ac:dyDescent="0.25">
      <c r="A10" t="s">
        <v>13</v>
      </c>
      <c r="B10" t="s">
        <v>34</v>
      </c>
      <c r="C10" t="s">
        <v>35</v>
      </c>
    </row>
    <row r="11" spans="1:3" s="3" customFormat="1" x14ac:dyDescent="0.25">
      <c r="A11" s="3" t="s">
        <v>13</v>
      </c>
      <c r="B11" s="3" t="s">
        <v>76</v>
      </c>
      <c r="C11" s="3" t="s">
        <v>77</v>
      </c>
    </row>
    <row r="12" spans="1:3" x14ac:dyDescent="0.25">
      <c r="A12" t="s">
        <v>13</v>
      </c>
      <c r="B12" t="s">
        <v>4</v>
      </c>
      <c r="C12" t="s">
        <v>5</v>
      </c>
    </row>
    <row r="13" spans="1:3" x14ac:dyDescent="0.25">
      <c r="A13" t="s">
        <v>13</v>
      </c>
      <c r="B13" t="s">
        <v>14</v>
      </c>
      <c r="C13" t="s">
        <v>15</v>
      </c>
    </row>
    <row r="14" spans="1:3" x14ac:dyDescent="0.25">
      <c r="A14" t="s">
        <v>13</v>
      </c>
      <c r="B14" t="s">
        <v>18</v>
      </c>
      <c r="C14" t="s">
        <v>16</v>
      </c>
    </row>
    <row r="15" spans="1:3" x14ac:dyDescent="0.25">
      <c r="A15" t="s">
        <v>13</v>
      </c>
      <c r="B15" t="s">
        <v>19</v>
      </c>
      <c r="C15" t="s">
        <v>17</v>
      </c>
    </row>
    <row r="16" spans="1:3" x14ac:dyDescent="0.25">
      <c r="A16" t="s">
        <v>13</v>
      </c>
      <c r="B16" t="s">
        <v>22</v>
      </c>
      <c r="C16" t="s">
        <v>23</v>
      </c>
    </row>
    <row r="17" spans="1:3" x14ac:dyDescent="0.25">
      <c r="A17" t="s">
        <v>28</v>
      </c>
      <c r="B17" t="s">
        <v>29</v>
      </c>
      <c r="C17" s="8" t="s">
        <v>31</v>
      </c>
    </row>
    <row r="18" spans="1:3" x14ac:dyDescent="0.25">
      <c r="A18" s="3" t="s">
        <v>28</v>
      </c>
      <c r="B18" s="3" t="s">
        <v>30</v>
      </c>
      <c r="C18" t="s">
        <v>489</v>
      </c>
    </row>
    <row r="19" spans="1:3" x14ac:dyDescent="0.25">
      <c r="A19" t="s">
        <v>95</v>
      </c>
      <c r="B19" t="s">
        <v>96</v>
      </c>
      <c r="C19" s="49">
        <v>42678.57607638889</v>
      </c>
    </row>
    <row r="20" spans="1:3" x14ac:dyDescent="0.25">
      <c r="A20" s="3" t="s">
        <v>99</v>
      </c>
      <c r="B20" s="3" t="s">
        <v>100</v>
      </c>
      <c r="C20" s="49">
        <v>42613.505856481483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Ver"/>
  <dimension ref="A1:P73"/>
  <sheetViews>
    <sheetView tabSelected="1" topLeftCell="A22" workbookViewId="0">
      <selection activeCell="G25" sqref="G25"/>
    </sheetView>
  </sheetViews>
  <sheetFormatPr defaultRowHeight="15" x14ac:dyDescent="0.25"/>
  <cols>
    <col min="1" max="2" width="19.140625" style="31" customWidth="1"/>
    <col min="3" max="3" width="3.140625" style="31" customWidth="1"/>
    <col min="4" max="5" width="9.140625" style="31"/>
    <col min="6" max="6" width="9.7109375" style="31" bestFit="1" customWidth="1"/>
    <col min="7" max="7" width="62.7109375" style="31" customWidth="1"/>
    <col min="8" max="8" width="47.28515625" style="31" customWidth="1"/>
    <col min="9" max="9" width="8" style="31" bestFit="1" customWidth="1"/>
    <col min="10" max="11" width="62.7109375" style="31" customWidth="1"/>
    <col min="12" max="16384" width="9.140625" style="31"/>
  </cols>
  <sheetData>
    <row r="1" spans="1:16" x14ac:dyDescent="0.25">
      <c r="A1" s="28" t="s">
        <v>6</v>
      </c>
      <c r="B1" s="29" t="s">
        <v>86</v>
      </c>
      <c r="C1" s="30"/>
      <c r="D1" s="30"/>
      <c r="E1" s="30"/>
      <c r="F1" s="30"/>
      <c r="G1" s="30"/>
      <c r="H1" s="30"/>
      <c r="I1" s="30"/>
      <c r="J1" s="30"/>
      <c r="K1" s="30"/>
      <c r="L1" s="30"/>
    </row>
    <row r="2" spans="1:16" ht="60" x14ac:dyDescent="0.25">
      <c r="A2" s="32" t="s">
        <v>87</v>
      </c>
      <c r="B2" s="67" t="s">
        <v>88</v>
      </c>
      <c r="C2" s="68"/>
      <c r="D2" s="68"/>
      <c r="E2" s="68"/>
      <c r="F2" s="68"/>
      <c r="G2" s="69"/>
      <c r="H2" s="33"/>
      <c r="I2" s="33"/>
      <c r="J2" s="33"/>
      <c r="K2" s="33"/>
      <c r="L2" s="30"/>
      <c r="P2" s="34" t="s">
        <v>89</v>
      </c>
    </row>
    <row r="3" spans="1:16" x14ac:dyDescent="0.25">
      <c r="A3" s="28"/>
      <c r="B3" s="30"/>
      <c r="C3" s="30"/>
      <c r="D3" s="35" t="s">
        <v>90</v>
      </c>
      <c r="E3" s="35" t="s">
        <v>91</v>
      </c>
      <c r="F3" s="35"/>
      <c r="G3" s="30"/>
      <c r="H3" s="30"/>
      <c r="I3" s="30"/>
      <c r="J3" s="30"/>
      <c r="K3" s="30"/>
      <c r="L3" s="30"/>
    </row>
    <row r="4" spans="1:16" x14ac:dyDescent="0.25">
      <c r="A4" s="28" t="s">
        <v>92</v>
      </c>
      <c r="B4" s="36" t="str">
        <f>"V"&amp;TEXT(D4,"00")&amp;"."&amp;TEXT(E4,"00")</f>
        <v>V03.18</v>
      </c>
      <c r="C4" s="30"/>
      <c r="D4" s="37">
        <f>MAX(D8:D63)</f>
        <v>3</v>
      </c>
      <c r="E4" s="37">
        <f t="array" ref="E4">MAX(IF(D8:D63=Ver_Maj,E8:E63))</f>
        <v>18</v>
      </c>
      <c r="F4" s="38"/>
      <c r="G4" s="39" t="s">
        <v>93</v>
      </c>
      <c r="H4" s="30"/>
      <c r="I4" s="30"/>
      <c r="J4" s="30"/>
      <c r="K4" s="30"/>
      <c r="L4" s="30"/>
    </row>
    <row r="5" spans="1:16" x14ac:dyDescent="0.25">
      <c r="A5" s="30"/>
      <c r="B5" s="30"/>
      <c r="C5" s="30"/>
      <c r="D5" s="30"/>
      <c r="E5" s="30"/>
      <c r="F5" s="30"/>
      <c r="G5" s="30"/>
      <c r="H5" s="30"/>
      <c r="I5" s="30"/>
      <c r="J5" s="30"/>
      <c r="K5" s="30"/>
      <c r="L5" s="30"/>
    </row>
    <row r="6" spans="1:16" x14ac:dyDescent="0.25">
      <c r="A6" s="30"/>
      <c r="B6" s="30"/>
      <c r="C6" s="30"/>
      <c r="D6" s="40" t="s">
        <v>94</v>
      </c>
      <c r="E6" s="30"/>
      <c r="F6" s="30"/>
      <c r="G6" s="30"/>
      <c r="H6" s="30"/>
      <c r="I6" s="30"/>
      <c r="J6" s="30"/>
      <c r="K6" s="30"/>
      <c r="L6" s="30"/>
    </row>
    <row r="7" spans="1:16" x14ac:dyDescent="0.25">
      <c r="A7" s="30"/>
      <c r="B7" s="30"/>
      <c r="C7" s="30"/>
      <c r="D7" s="35" t="s">
        <v>90</v>
      </c>
      <c r="E7" s="35" t="s">
        <v>91</v>
      </c>
      <c r="F7" s="41" t="s">
        <v>7</v>
      </c>
      <c r="G7" s="35" t="s">
        <v>8</v>
      </c>
      <c r="H7" s="35"/>
      <c r="I7" s="35"/>
      <c r="J7" s="35"/>
      <c r="K7" s="35"/>
      <c r="L7" s="30"/>
    </row>
    <row r="8" spans="1:16" ht="30" x14ac:dyDescent="0.25">
      <c r="A8" s="30"/>
      <c r="B8" s="30"/>
      <c r="C8" s="30"/>
      <c r="D8" s="36">
        <v>3</v>
      </c>
      <c r="E8" s="36">
        <v>0</v>
      </c>
      <c r="F8" s="42">
        <v>42599</v>
      </c>
      <c r="G8" s="53" t="s">
        <v>104</v>
      </c>
      <c r="H8" s="43"/>
      <c r="I8" s="43"/>
      <c r="J8" s="43"/>
      <c r="K8" s="43"/>
      <c r="L8" s="30"/>
    </row>
    <row r="9" spans="1:16" x14ac:dyDescent="0.25">
      <c r="A9" s="30"/>
      <c r="B9" s="30"/>
      <c r="C9" s="30"/>
      <c r="D9" s="44">
        <f t="shared" ref="D9:D34" si="0">IF(E9="","",D8)</f>
        <v>3</v>
      </c>
      <c r="E9" s="44">
        <v>2</v>
      </c>
      <c r="F9" s="45">
        <v>42634</v>
      </c>
      <c r="G9" s="46" t="s">
        <v>106</v>
      </c>
      <c r="H9" s="43"/>
      <c r="I9" s="43"/>
      <c r="J9" s="43"/>
      <c r="K9" s="43"/>
      <c r="L9" s="30"/>
    </row>
    <row r="10" spans="1:16" ht="60" x14ac:dyDescent="0.25">
      <c r="A10" s="30"/>
      <c r="B10" s="30"/>
      <c r="C10" s="30"/>
      <c r="D10" s="44">
        <f t="shared" si="0"/>
        <v>3</v>
      </c>
      <c r="E10" s="44">
        <v>3</v>
      </c>
      <c r="F10" s="45">
        <v>42635</v>
      </c>
      <c r="G10" s="46" t="s">
        <v>107</v>
      </c>
      <c r="H10" s="43"/>
      <c r="I10" s="43"/>
      <c r="J10" s="43"/>
      <c r="K10" s="43"/>
      <c r="L10" s="30"/>
    </row>
    <row r="11" spans="1:16" ht="30" x14ac:dyDescent="0.25">
      <c r="A11" s="30"/>
      <c r="B11" s="30"/>
      <c r="C11" s="30"/>
      <c r="D11" s="44">
        <f t="shared" si="0"/>
        <v>3</v>
      </c>
      <c r="E11" s="44">
        <v>4</v>
      </c>
      <c r="F11" s="45">
        <v>42636</v>
      </c>
      <c r="G11" s="46" t="s">
        <v>108</v>
      </c>
      <c r="H11" s="43"/>
      <c r="I11" s="43"/>
      <c r="J11" s="43"/>
      <c r="K11" s="43"/>
      <c r="L11" s="30"/>
    </row>
    <row r="12" spans="1:16" ht="30" x14ac:dyDescent="0.25">
      <c r="A12" s="30"/>
      <c r="B12" s="30"/>
      <c r="C12" s="30"/>
      <c r="D12" s="44">
        <f t="shared" si="0"/>
        <v>3</v>
      </c>
      <c r="E12" s="44">
        <v>5</v>
      </c>
      <c r="F12" s="45">
        <v>42639</v>
      </c>
      <c r="G12" s="48" t="s">
        <v>109</v>
      </c>
      <c r="H12" s="43"/>
      <c r="I12" s="43"/>
      <c r="J12" s="43"/>
      <c r="K12" s="43"/>
      <c r="L12" s="30"/>
    </row>
    <row r="13" spans="1:16" x14ac:dyDescent="0.25">
      <c r="A13" s="30"/>
      <c r="B13" s="30"/>
      <c r="C13" s="30"/>
      <c r="D13" s="44">
        <f t="shared" si="0"/>
        <v>3</v>
      </c>
      <c r="E13" s="44">
        <v>6</v>
      </c>
      <c r="F13" s="45">
        <v>42643</v>
      </c>
      <c r="G13" s="48" t="s">
        <v>112</v>
      </c>
      <c r="H13" s="43"/>
      <c r="I13" s="43"/>
      <c r="J13" s="43"/>
      <c r="K13" s="43"/>
      <c r="L13" s="30"/>
    </row>
    <row r="14" spans="1:16" ht="60" x14ac:dyDescent="0.25">
      <c r="A14" s="30"/>
      <c r="B14" s="30"/>
      <c r="C14" s="30"/>
      <c r="D14" s="44">
        <f t="shared" si="0"/>
        <v>3</v>
      </c>
      <c r="E14" s="44">
        <v>7</v>
      </c>
      <c r="F14" s="45">
        <v>42655</v>
      </c>
      <c r="G14" s="48" t="s">
        <v>488</v>
      </c>
      <c r="H14" s="43"/>
      <c r="I14" s="43"/>
      <c r="J14" s="43"/>
      <c r="K14" s="43"/>
      <c r="L14" s="30"/>
    </row>
    <row r="15" spans="1:16" ht="105" x14ac:dyDescent="0.25">
      <c r="A15" s="30"/>
      <c r="B15" s="30"/>
      <c r="C15" s="30"/>
      <c r="D15" s="44">
        <f t="shared" si="0"/>
        <v>3</v>
      </c>
      <c r="E15" s="44">
        <v>8</v>
      </c>
      <c r="F15" s="45">
        <v>42656</v>
      </c>
      <c r="G15" s="48" t="s">
        <v>490</v>
      </c>
      <c r="H15" s="43"/>
      <c r="I15" s="43"/>
      <c r="J15" s="43"/>
      <c r="K15" s="43"/>
      <c r="L15" s="30"/>
    </row>
    <row r="16" spans="1:16" x14ac:dyDescent="0.25">
      <c r="A16" s="30"/>
      <c r="B16" s="30"/>
      <c r="C16" s="30"/>
      <c r="D16" s="44">
        <f t="shared" si="0"/>
        <v>3</v>
      </c>
      <c r="E16" s="44">
        <v>9</v>
      </c>
      <c r="F16" s="45">
        <v>42657</v>
      </c>
      <c r="G16" s="48" t="s">
        <v>504</v>
      </c>
      <c r="H16" s="43"/>
      <c r="I16" s="43"/>
      <c r="J16" s="43"/>
      <c r="K16" s="43"/>
      <c r="L16" s="30"/>
    </row>
    <row r="17" spans="1:12" ht="30" x14ac:dyDescent="0.25">
      <c r="A17" s="30"/>
      <c r="B17" s="30"/>
      <c r="C17" s="30"/>
      <c r="D17" s="44">
        <f t="shared" si="0"/>
        <v>3</v>
      </c>
      <c r="E17" s="44">
        <v>10</v>
      </c>
      <c r="F17" s="45">
        <v>42664</v>
      </c>
      <c r="G17" s="48" t="s">
        <v>765</v>
      </c>
      <c r="H17" s="43"/>
      <c r="I17" s="43"/>
      <c r="J17" s="43"/>
      <c r="K17" s="43"/>
      <c r="L17" s="30"/>
    </row>
    <row r="18" spans="1:12" ht="30" x14ac:dyDescent="0.25">
      <c r="A18" s="30"/>
      <c r="B18" s="30"/>
      <c r="C18" s="30"/>
      <c r="D18" s="44">
        <f t="shared" si="0"/>
        <v>3</v>
      </c>
      <c r="E18" s="44">
        <v>11</v>
      </c>
      <c r="F18" s="45">
        <v>42669</v>
      </c>
      <c r="G18" s="48" t="s">
        <v>767</v>
      </c>
      <c r="H18" s="43"/>
      <c r="I18" s="43"/>
      <c r="J18" s="43"/>
      <c r="K18" s="43"/>
      <c r="L18" s="30"/>
    </row>
    <row r="19" spans="1:12" x14ac:dyDescent="0.25">
      <c r="A19" s="30"/>
      <c r="B19" s="30"/>
      <c r="C19" s="30"/>
      <c r="D19" s="44">
        <f t="shared" si="0"/>
        <v>3</v>
      </c>
      <c r="E19" s="44">
        <v>12</v>
      </c>
      <c r="F19" s="45">
        <v>42669</v>
      </c>
      <c r="G19" s="48" t="s">
        <v>769</v>
      </c>
      <c r="H19" s="43"/>
      <c r="I19" s="43"/>
      <c r="J19" s="43"/>
      <c r="K19" s="43"/>
      <c r="L19" s="30"/>
    </row>
    <row r="20" spans="1:12" ht="45" x14ac:dyDescent="0.25">
      <c r="A20" s="30"/>
      <c r="B20" s="30"/>
      <c r="C20" s="30"/>
      <c r="D20" s="44">
        <f t="shared" si="0"/>
        <v>3</v>
      </c>
      <c r="E20" s="44">
        <v>13</v>
      </c>
      <c r="F20" s="45">
        <v>42670</v>
      </c>
      <c r="G20" s="48" t="s">
        <v>770</v>
      </c>
      <c r="H20" s="43"/>
      <c r="I20" s="43"/>
      <c r="J20" s="43"/>
      <c r="K20" s="43"/>
      <c r="L20" s="30"/>
    </row>
    <row r="21" spans="1:12" ht="30" x14ac:dyDescent="0.25">
      <c r="A21" s="30"/>
      <c r="B21" s="30"/>
      <c r="C21" s="30"/>
      <c r="D21" s="44">
        <f t="shared" si="0"/>
        <v>3</v>
      </c>
      <c r="E21" s="44">
        <v>14</v>
      </c>
      <c r="F21" s="45">
        <v>42674</v>
      </c>
      <c r="G21" s="48" t="s">
        <v>771</v>
      </c>
      <c r="H21" s="43"/>
      <c r="I21" s="43"/>
      <c r="J21" s="43"/>
      <c r="K21" s="43"/>
      <c r="L21" s="30"/>
    </row>
    <row r="22" spans="1:12" ht="30" x14ac:dyDescent="0.25">
      <c r="A22" s="30"/>
      <c r="B22" s="30"/>
      <c r="C22" s="30"/>
      <c r="D22" s="44">
        <f t="shared" si="0"/>
        <v>3</v>
      </c>
      <c r="E22" s="44">
        <v>15</v>
      </c>
      <c r="F22" s="45">
        <v>42678</v>
      </c>
      <c r="G22" s="48" t="s">
        <v>772</v>
      </c>
      <c r="H22" s="43"/>
      <c r="I22" s="43"/>
      <c r="J22" s="43"/>
      <c r="K22" s="43"/>
      <c r="L22" s="30"/>
    </row>
    <row r="23" spans="1:12" ht="45" x14ac:dyDescent="0.25">
      <c r="A23" s="30"/>
      <c r="B23" s="30"/>
      <c r="C23" s="30"/>
      <c r="D23" s="44">
        <f t="shared" si="0"/>
        <v>3</v>
      </c>
      <c r="E23" s="44">
        <v>16</v>
      </c>
      <c r="F23" s="45">
        <v>42680</v>
      </c>
      <c r="G23" s="48" t="s">
        <v>773</v>
      </c>
      <c r="H23" s="43"/>
      <c r="I23" s="43"/>
      <c r="J23" s="43"/>
      <c r="K23" s="43"/>
      <c r="L23" s="30"/>
    </row>
    <row r="24" spans="1:12" x14ac:dyDescent="0.25">
      <c r="A24" s="30"/>
      <c r="B24" s="30"/>
      <c r="C24" s="30"/>
      <c r="D24" s="44">
        <f t="shared" si="0"/>
        <v>3</v>
      </c>
      <c r="E24" s="44">
        <v>17</v>
      </c>
      <c r="F24" s="45">
        <v>42683</v>
      </c>
      <c r="G24" s="48"/>
      <c r="H24" s="43"/>
      <c r="I24" s="43"/>
      <c r="J24" s="43"/>
      <c r="K24" s="43"/>
      <c r="L24" s="30"/>
    </row>
    <row r="25" spans="1:12" ht="60" x14ac:dyDescent="0.25">
      <c r="A25" s="30"/>
      <c r="B25" s="30"/>
      <c r="C25" s="30"/>
      <c r="D25" s="44">
        <f t="shared" si="0"/>
        <v>3</v>
      </c>
      <c r="E25" s="44">
        <v>18</v>
      </c>
      <c r="F25" s="45">
        <v>42696</v>
      </c>
      <c r="G25" s="48" t="s">
        <v>775</v>
      </c>
      <c r="H25" s="43"/>
      <c r="I25" s="43"/>
      <c r="J25" s="43"/>
      <c r="K25" s="43"/>
      <c r="L25" s="30"/>
    </row>
    <row r="26" spans="1:12" x14ac:dyDescent="0.25">
      <c r="A26" s="3">
        <v>4500582682</v>
      </c>
      <c r="B26" s="30"/>
      <c r="C26" s="30"/>
      <c r="D26" s="44" t="str">
        <f t="shared" si="0"/>
        <v/>
      </c>
      <c r="E26" s="44"/>
      <c r="F26" s="45"/>
      <c r="G26" s="48"/>
      <c r="H26" s="43"/>
      <c r="I26" s="43"/>
      <c r="J26" s="66"/>
      <c r="K26" s="43"/>
      <c r="L26" s="30"/>
    </row>
    <row r="27" spans="1:12" x14ac:dyDescent="0.25">
      <c r="A27" s="30"/>
      <c r="B27" s="30"/>
      <c r="C27" s="30"/>
      <c r="D27" s="44" t="str">
        <f t="shared" si="0"/>
        <v/>
      </c>
      <c r="E27" s="44"/>
      <c r="F27" s="45"/>
      <c r="G27" s="48"/>
      <c r="H27" s="30"/>
      <c r="I27" s="30"/>
      <c r="J27" s="30"/>
      <c r="K27" s="30"/>
      <c r="L27" s="30"/>
    </row>
    <row r="28" spans="1:12" x14ac:dyDescent="0.25">
      <c r="A28" s="30"/>
      <c r="B28" s="30"/>
      <c r="C28" s="30"/>
      <c r="D28" s="44" t="str">
        <f t="shared" si="0"/>
        <v/>
      </c>
      <c r="E28" s="44"/>
      <c r="F28" s="45"/>
      <c r="G28" s="48"/>
      <c r="H28" s="30"/>
      <c r="I28" s="30"/>
      <c r="J28" s="30"/>
    </row>
    <row r="29" spans="1:12" x14ac:dyDescent="0.25">
      <c r="A29" s="30"/>
      <c r="B29" s="30"/>
      <c r="C29" s="30"/>
      <c r="D29" s="44" t="str">
        <f t="shared" si="0"/>
        <v/>
      </c>
      <c r="E29" s="44"/>
      <c r="F29" s="45"/>
      <c r="G29" s="48"/>
      <c r="H29" s="30"/>
      <c r="I29" s="30"/>
      <c r="J29" s="30"/>
    </row>
    <row r="30" spans="1:12" x14ac:dyDescent="0.25">
      <c r="A30" s="30"/>
      <c r="B30" s="30"/>
      <c r="C30" s="30"/>
      <c r="D30" s="44" t="str">
        <f t="shared" si="0"/>
        <v/>
      </c>
      <c r="E30" s="44"/>
      <c r="F30" s="45"/>
      <c r="G30" s="47"/>
      <c r="H30" s="30"/>
      <c r="I30" s="30"/>
      <c r="J30" s="30"/>
    </row>
    <row r="31" spans="1:12" x14ac:dyDescent="0.25">
      <c r="A31" s="30"/>
      <c r="B31" s="30"/>
      <c r="C31" s="30"/>
      <c r="D31" s="44" t="str">
        <f t="shared" si="0"/>
        <v/>
      </c>
      <c r="E31" s="44"/>
      <c r="F31" s="45"/>
      <c r="G31" s="48"/>
      <c r="H31" s="30"/>
      <c r="I31" s="30"/>
      <c r="J31" s="30"/>
    </row>
    <row r="32" spans="1:12" x14ac:dyDescent="0.25">
      <c r="A32" s="30"/>
      <c r="B32" s="30"/>
      <c r="C32" s="30"/>
      <c r="D32" s="44" t="str">
        <f t="shared" si="0"/>
        <v/>
      </c>
      <c r="E32" s="44"/>
      <c r="F32" s="45"/>
      <c r="G32" s="48"/>
      <c r="H32" s="30"/>
      <c r="I32" s="30"/>
      <c r="J32" s="30"/>
    </row>
    <row r="33" spans="1:10" x14ac:dyDescent="0.25">
      <c r="A33" s="30"/>
      <c r="B33" s="30"/>
      <c r="C33" s="30"/>
      <c r="D33" s="44" t="str">
        <f t="shared" si="0"/>
        <v/>
      </c>
      <c r="E33" s="44"/>
      <c r="F33" s="45"/>
      <c r="G33" s="48"/>
      <c r="H33" s="30"/>
      <c r="I33" s="30"/>
      <c r="J33" s="30"/>
    </row>
    <row r="34" spans="1:10" x14ac:dyDescent="0.25">
      <c r="A34" s="30"/>
      <c r="B34" s="30"/>
      <c r="C34" s="30"/>
      <c r="D34" s="44" t="str">
        <f t="shared" si="0"/>
        <v/>
      </c>
      <c r="E34" s="44"/>
      <c r="F34" s="45"/>
      <c r="G34" s="47"/>
      <c r="H34" s="30"/>
      <c r="I34" s="30"/>
      <c r="J34" s="30"/>
    </row>
    <row r="35" spans="1:10" x14ac:dyDescent="0.25">
      <c r="A35" s="30"/>
      <c r="B35" s="30"/>
      <c r="C35" s="30"/>
      <c r="D35" s="44" t="str">
        <f t="shared" ref="D35:D63" si="1">IF(E35="","",D34)</f>
        <v/>
      </c>
      <c r="E35" s="44"/>
      <c r="F35" s="45"/>
      <c r="G35" s="48"/>
      <c r="H35" s="30"/>
      <c r="I35" s="30"/>
      <c r="J35" s="30"/>
    </row>
    <row r="36" spans="1:10" x14ac:dyDescent="0.25">
      <c r="A36" s="30"/>
      <c r="B36" s="30"/>
      <c r="C36" s="30"/>
      <c r="D36" s="44" t="str">
        <f t="shared" si="1"/>
        <v/>
      </c>
      <c r="E36" s="44"/>
      <c r="F36" s="45"/>
      <c r="G36" s="48"/>
      <c r="H36" s="30"/>
      <c r="I36" s="30"/>
      <c r="J36" s="30"/>
    </row>
    <row r="37" spans="1:10" x14ac:dyDescent="0.25">
      <c r="A37" s="30"/>
      <c r="B37" s="30"/>
      <c r="C37" s="30"/>
      <c r="D37" s="44" t="str">
        <f t="shared" si="1"/>
        <v/>
      </c>
      <c r="E37" s="44"/>
      <c r="F37" s="45"/>
      <c r="G37" s="48"/>
      <c r="H37" s="30"/>
      <c r="I37" s="30"/>
      <c r="J37" s="30"/>
    </row>
    <row r="38" spans="1:10" x14ac:dyDescent="0.25">
      <c r="A38" s="30"/>
      <c r="B38" s="30"/>
      <c r="C38" s="30"/>
      <c r="D38" s="44" t="str">
        <f t="shared" si="1"/>
        <v/>
      </c>
      <c r="E38" s="44"/>
      <c r="F38" s="45"/>
      <c r="G38" s="48"/>
      <c r="H38" s="30"/>
      <c r="I38" s="30"/>
      <c r="J38" s="30"/>
    </row>
    <row r="39" spans="1:10" x14ac:dyDescent="0.25">
      <c r="A39" s="30"/>
      <c r="B39" s="30"/>
      <c r="C39" s="30"/>
      <c r="D39" s="44" t="str">
        <f t="shared" si="1"/>
        <v/>
      </c>
      <c r="E39" s="44"/>
      <c r="F39" s="45"/>
      <c r="G39" s="48"/>
      <c r="H39" s="30"/>
      <c r="I39" s="30"/>
      <c r="J39" s="30"/>
    </row>
    <row r="40" spans="1:10" x14ac:dyDescent="0.25">
      <c r="A40" s="30"/>
      <c r="B40" s="30"/>
      <c r="C40" s="30"/>
      <c r="D40" s="44" t="str">
        <f t="shared" si="1"/>
        <v/>
      </c>
      <c r="E40" s="44"/>
      <c r="F40" s="45"/>
      <c r="G40" s="48"/>
      <c r="H40" s="30"/>
      <c r="I40" s="30"/>
      <c r="J40" s="30"/>
    </row>
    <row r="41" spans="1:10" x14ac:dyDescent="0.25">
      <c r="A41" s="30"/>
      <c r="B41" s="30"/>
      <c r="C41" s="30"/>
      <c r="D41" s="44" t="str">
        <f t="shared" si="1"/>
        <v/>
      </c>
      <c r="E41" s="44"/>
      <c r="F41" s="45"/>
      <c r="G41" s="48"/>
      <c r="H41" s="30"/>
      <c r="I41" s="30"/>
      <c r="J41" s="30"/>
    </row>
    <row r="42" spans="1:10" x14ac:dyDescent="0.25">
      <c r="A42" s="30"/>
      <c r="B42" s="30"/>
      <c r="C42" s="30"/>
      <c r="D42" s="44" t="str">
        <f t="shared" si="1"/>
        <v/>
      </c>
      <c r="E42" s="44"/>
      <c r="F42" s="45"/>
      <c r="G42" s="48"/>
      <c r="H42" s="30"/>
      <c r="I42" s="30"/>
      <c r="J42" s="30"/>
    </row>
    <row r="43" spans="1:10" x14ac:dyDescent="0.25">
      <c r="A43" s="30"/>
      <c r="B43" s="30"/>
      <c r="C43" s="30"/>
      <c r="D43" s="44" t="str">
        <f t="shared" si="1"/>
        <v/>
      </c>
      <c r="E43" s="44"/>
      <c r="F43" s="45"/>
      <c r="G43" s="48"/>
      <c r="H43" s="30"/>
      <c r="I43" s="30"/>
      <c r="J43" s="30"/>
    </row>
    <row r="44" spans="1:10" x14ac:dyDescent="0.25">
      <c r="A44" s="30"/>
      <c r="B44" s="30"/>
      <c r="C44" s="30"/>
      <c r="D44" s="44" t="str">
        <f t="shared" si="1"/>
        <v/>
      </c>
      <c r="E44" s="44"/>
      <c r="F44" s="45"/>
      <c r="G44" s="47"/>
      <c r="H44" s="30"/>
      <c r="I44" s="30"/>
      <c r="J44" s="30"/>
    </row>
    <row r="45" spans="1:10" x14ac:dyDescent="0.25">
      <c r="A45" s="30"/>
      <c r="B45" s="30"/>
      <c r="C45" s="30"/>
      <c r="D45" s="44" t="str">
        <f t="shared" si="1"/>
        <v/>
      </c>
      <c r="E45" s="44"/>
      <c r="F45" s="45"/>
      <c r="G45" s="48"/>
      <c r="H45" s="30"/>
      <c r="I45" s="30"/>
      <c r="J45" s="30"/>
    </row>
    <row r="46" spans="1:10" x14ac:dyDescent="0.25">
      <c r="A46" s="30"/>
      <c r="B46" s="30"/>
      <c r="C46" s="30"/>
      <c r="D46" s="44" t="str">
        <f t="shared" si="1"/>
        <v/>
      </c>
      <c r="E46" s="44"/>
      <c r="F46" s="45"/>
      <c r="G46" s="47"/>
      <c r="H46" s="30"/>
      <c r="I46" s="30"/>
      <c r="J46" s="30"/>
    </row>
    <row r="47" spans="1:10" x14ac:dyDescent="0.25">
      <c r="A47" s="30"/>
      <c r="B47" s="30"/>
      <c r="C47" s="30"/>
      <c r="D47" s="44" t="str">
        <f t="shared" si="1"/>
        <v/>
      </c>
      <c r="E47" s="44"/>
      <c r="F47" s="45"/>
      <c r="G47" s="48"/>
      <c r="H47" s="30"/>
      <c r="I47" s="30"/>
      <c r="J47" s="30"/>
    </row>
    <row r="48" spans="1:10" x14ac:dyDescent="0.25">
      <c r="A48" s="30"/>
      <c r="B48" s="30"/>
      <c r="C48" s="30"/>
      <c r="D48" s="44" t="str">
        <f t="shared" si="1"/>
        <v/>
      </c>
      <c r="E48" s="44"/>
      <c r="F48" s="45"/>
      <c r="G48" s="48"/>
      <c r="H48" s="30"/>
      <c r="I48" s="30"/>
      <c r="J48" s="30"/>
    </row>
    <row r="49" spans="1:10" x14ac:dyDescent="0.25">
      <c r="A49" s="30"/>
      <c r="B49" s="30"/>
      <c r="C49" s="30"/>
      <c r="D49" s="44" t="str">
        <f t="shared" si="1"/>
        <v/>
      </c>
      <c r="E49" s="44"/>
      <c r="F49" s="45"/>
      <c r="G49" s="48"/>
      <c r="H49" s="30"/>
      <c r="I49" s="30"/>
      <c r="J49" s="30"/>
    </row>
    <row r="50" spans="1:10" x14ac:dyDescent="0.25">
      <c r="A50" s="30"/>
      <c r="B50" s="30"/>
      <c r="C50" s="30"/>
      <c r="D50" s="44" t="str">
        <f t="shared" si="1"/>
        <v/>
      </c>
      <c r="E50" s="44"/>
      <c r="F50" s="45"/>
      <c r="G50" s="48"/>
      <c r="H50" s="30"/>
      <c r="I50" s="30"/>
      <c r="J50" s="30"/>
    </row>
    <row r="51" spans="1:10" x14ac:dyDescent="0.25">
      <c r="A51" s="30"/>
      <c r="B51" s="30"/>
      <c r="C51" s="30"/>
      <c r="D51" s="44" t="str">
        <f t="shared" si="1"/>
        <v/>
      </c>
      <c r="E51" s="44"/>
      <c r="F51" s="45"/>
      <c r="G51" s="48"/>
      <c r="H51" s="30"/>
      <c r="I51" s="30"/>
      <c r="J51" s="30"/>
    </row>
    <row r="52" spans="1:10" x14ac:dyDescent="0.25">
      <c r="A52" s="30"/>
      <c r="B52" s="30"/>
      <c r="C52" s="30"/>
      <c r="D52" s="44" t="str">
        <f t="shared" si="1"/>
        <v/>
      </c>
      <c r="E52" s="44"/>
      <c r="F52" s="45"/>
      <c r="G52" s="48"/>
      <c r="H52" s="30"/>
      <c r="I52" s="30"/>
      <c r="J52" s="30"/>
    </row>
    <row r="53" spans="1:10" x14ac:dyDescent="0.25">
      <c r="A53" s="30"/>
      <c r="B53" s="30"/>
      <c r="C53" s="30"/>
      <c r="D53" s="44" t="str">
        <f t="shared" si="1"/>
        <v/>
      </c>
      <c r="E53" s="44"/>
      <c r="F53" s="45"/>
      <c r="G53" s="48"/>
      <c r="H53" s="30"/>
      <c r="I53" s="30"/>
      <c r="J53" s="30"/>
    </row>
    <row r="54" spans="1:10" x14ac:dyDescent="0.25">
      <c r="A54" s="30"/>
      <c r="B54" s="30"/>
      <c r="C54" s="30"/>
      <c r="D54" s="44" t="str">
        <f t="shared" si="1"/>
        <v/>
      </c>
      <c r="E54" s="44"/>
      <c r="F54" s="45"/>
      <c r="G54" s="48"/>
      <c r="H54" s="30"/>
      <c r="I54" s="30"/>
      <c r="J54" s="30"/>
    </row>
    <row r="55" spans="1:10" x14ac:dyDescent="0.25">
      <c r="A55" s="30"/>
      <c r="B55" s="30"/>
      <c r="C55" s="30"/>
      <c r="D55" s="44" t="str">
        <f t="shared" si="1"/>
        <v/>
      </c>
      <c r="E55" s="44"/>
      <c r="F55" s="45"/>
      <c r="G55" s="48"/>
      <c r="H55" s="30"/>
      <c r="I55" s="30"/>
      <c r="J55" s="30"/>
    </row>
    <row r="56" spans="1:10" x14ac:dyDescent="0.25">
      <c r="A56" s="30"/>
      <c r="B56" s="30"/>
      <c r="C56" s="30"/>
      <c r="D56" s="44" t="str">
        <f t="shared" si="1"/>
        <v/>
      </c>
      <c r="E56" s="44"/>
      <c r="F56" s="45"/>
      <c r="G56" s="48"/>
      <c r="H56" s="30"/>
      <c r="I56" s="30"/>
      <c r="J56" s="30"/>
    </row>
    <row r="57" spans="1:10" x14ac:dyDescent="0.25">
      <c r="A57" s="30"/>
      <c r="B57" s="30"/>
      <c r="C57" s="30"/>
      <c r="D57" s="44" t="str">
        <f t="shared" si="1"/>
        <v/>
      </c>
      <c r="E57" s="44"/>
      <c r="F57" s="45"/>
      <c r="G57" s="48"/>
      <c r="H57" s="30"/>
      <c r="I57" s="30"/>
      <c r="J57" s="30"/>
    </row>
    <row r="58" spans="1:10" x14ac:dyDescent="0.25">
      <c r="A58" s="30"/>
      <c r="B58" s="30"/>
      <c r="C58" s="30"/>
      <c r="D58" s="44" t="str">
        <f t="shared" si="1"/>
        <v/>
      </c>
      <c r="E58" s="44"/>
      <c r="F58" s="45"/>
      <c r="G58" s="48"/>
      <c r="H58" s="30"/>
      <c r="I58" s="30"/>
      <c r="J58" s="30"/>
    </row>
    <row r="59" spans="1:10" x14ac:dyDescent="0.25">
      <c r="A59" s="30"/>
      <c r="B59" s="30"/>
      <c r="C59" s="30"/>
      <c r="D59" s="44" t="str">
        <f t="shared" si="1"/>
        <v/>
      </c>
      <c r="E59" s="44"/>
      <c r="F59" s="45"/>
      <c r="G59" s="48"/>
      <c r="H59" s="30"/>
      <c r="I59" s="30"/>
      <c r="J59" s="30"/>
    </row>
    <row r="60" spans="1:10" x14ac:dyDescent="0.25">
      <c r="A60" s="30"/>
      <c r="B60" s="30"/>
      <c r="C60" s="30"/>
      <c r="D60" s="44" t="str">
        <f t="shared" si="1"/>
        <v/>
      </c>
      <c r="E60" s="44"/>
      <c r="F60" s="45"/>
      <c r="G60" s="48"/>
      <c r="H60" s="30"/>
      <c r="I60" s="30"/>
      <c r="J60" s="30"/>
    </row>
    <row r="61" spans="1:10" x14ac:dyDescent="0.25">
      <c r="A61" s="30"/>
      <c r="B61" s="30"/>
      <c r="C61" s="30"/>
      <c r="D61" s="44" t="str">
        <f t="shared" si="1"/>
        <v/>
      </c>
      <c r="E61" s="44"/>
      <c r="F61" s="45"/>
      <c r="G61" s="48"/>
      <c r="H61" s="30"/>
      <c r="I61" s="30"/>
      <c r="J61" s="30"/>
    </row>
    <row r="62" spans="1:10" x14ac:dyDescent="0.25">
      <c r="A62" s="30"/>
      <c r="B62" s="30"/>
      <c r="C62" s="30"/>
      <c r="D62" s="44" t="str">
        <f t="shared" si="1"/>
        <v/>
      </c>
      <c r="E62" s="44"/>
      <c r="F62" s="45"/>
      <c r="G62" s="48"/>
      <c r="H62" s="30"/>
      <c r="I62" s="30"/>
      <c r="J62" s="30"/>
    </row>
    <row r="63" spans="1:10" x14ac:dyDescent="0.25">
      <c r="A63" s="30"/>
      <c r="B63" s="30"/>
      <c r="C63" s="30"/>
      <c r="D63" s="44" t="str">
        <f t="shared" si="1"/>
        <v/>
      </c>
      <c r="E63" s="44"/>
      <c r="F63" s="45"/>
      <c r="G63" s="47"/>
      <c r="H63" s="30"/>
      <c r="I63" s="30"/>
      <c r="J63" s="30"/>
    </row>
    <row r="64" spans="1:10" x14ac:dyDescent="0.25">
      <c r="A64" s="30"/>
      <c r="B64" s="30"/>
      <c r="C64" s="30"/>
      <c r="D64" s="30"/>
      <c r="E64" s="30"/>
      <c r="F64" s="30"/>
      <c r="G64" s="30"/>
      <c r="H64" s="30"/>
      <c r="I64" s="30"/>
      <c r="J64" s="30"/>
    </row>
    <row r="65" spans="1:10" x14ac:dyDescent="0.25">
      <c r="A65" s="30"/>
      <c r="B65" s="30"/>
      <c r="C65" s="30"/>
      <c r="D65" s="30"/>
      <c r="E65" s="30"/>
      <c r="F65" s="30"/>
      <c r="G65" s="30"/>
      <c r="H65" s="30"/>
      <c r="I65" s="30"/>
      <c r="J65" s="30"/>
    </row>
    <row r="66" spans="1:10" x14ac:dyDescent="0.25">
      <c r="A66" s="30"/>
      <c r="B66" s="30"/>
      <c r="C66" s="30"/>
      <c r="D66" s="30"/>
      <c r="E66" s="30"/>
      <c r="F66" s="30"/>
      <c r="G66" s="30"/>
      <c r="H66" s="30"/>
      <c r="I66" s="30"/>
      <c r="J66" s="30"/>
    </row>
    <row r="71" spans="1:10" x14ac:dyDescent="0.25">
      <c r="H71" s="31">
        <v>9173523</v>
      </c>
    </row>
    <row r="72" spans="1:10" x14ac:dyDescent="0.25">
      <c r="H72" s="31">
        <v>9128439</v>
      </c>
    </row>
    <row r="73" spans="1:10" x14ac:dyDescent="0.25">
      <c r="H73" s="31">
        <v>9171531</v>
      </c>
    </row>
  </sheetData>
  <mergeCells count="1">
    <mergeCell ref="B2:G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16"/>
  <sheetViews>
    <sheetView workbookViewId="0">
      <pane ySplit="1" topLeftCell="A2" activePane="bottomLeft" state="frozen"/>
      <selection pane="bottomLeft" activeCell="C7" sqref="C7"/>
    </sheetView>
  </sheetViews>
  <sheetFormatPr defaultRowHeight="15" x14ac:dyDescent="0.25"/>
  <cols>
    <col min="1" max="1" width="18.5703125" style="63" customWidth="1"/>
    <col min="2" max="2" width="21.7109375" style="63" customWidth="1"/>
    <col min="3" max="3" width="93" style="63" customWidth="1"/>
    <col min="4" max="4" width="9.140625" style="63"/>
    <col min="5" max="5" width="56.28515625" style="63" customWidth="1"/>
    <col min="6" max="16384" width="9.140625" style="63"/>
  </cols>
  <sheetData>
    <row r="1" spans="1:5" s="9" customFormat="1" x14ac:dyDescent="0.25">
      <c r="A1" s="12" t="s">
        <v>492</v>
      </c>
      <c r="B1" s="12" t="s">
        <v>491</v>
      </c>
      <c r="C1" s="12" t="s">
        <v>493</v>
      </c>
      <c r="D1" s="12" t="s">
        <v>498</v>
      </c>
      <c r="E1" s="12" t="s">
        <v>499</v>
      </c>
    </row>
    <row r="2" spans="1:5" ht="75" x14ac:dyDescent="0.25">
      <c r="A2" s="17" t="s">
        <v>766</v>
      </c>
      <c r="B2" s="17"/>
      <c r="C2" s="65" t="s">
        <v>768</v>
      </c>
      <c r="D2" s="17"/>
      <c r="E2" s="17"/>
    </row>
    <row r="3" spans="1:5" x14ac:dyDescent="0.25">
      <c r="A3" s="17" t="s">
        <v>494</v>
      </c>
      <c r="B3" s="17" t="s">
        <v>495</v>
      </c>
      <c r="C3" s="17" t="s">
        <v>496</v>
      </c>
      <c r="D3" s="17" t="s">
        <v>497</v>
      </c>
      <c r="E3" s="17"/>
    </row>
    <row r="4" spans="1:5" x14ac:dyDescent="0.25">
      <c r="A4" s="17" t="s">
        <v>500</v>
      </c>
      <c r="B4" s="17"/>
      <c r="C4" s="17"/>
      <c r="D4" s="17"/>
      <c r="E4" s="17"/>
    </row>
    <row r="5" spans="1:5" x14ac:dyDescent="0.25">
      <c r="A5" s="17"/>
      <c r="B5" s="17"/>
      <c r="C5" s="17"/>
      <c r="D5" s="17"/>
      <c r="E5" s="17"/>
    </row>
    <row r="6" spans="1:5" x14ac:dyDescent="0.25">
      <c r="A6" s="17"/>
      <c r="B6" s="17"/>
      <c r="C6" s="17"/>
      <c r="D6" s="17"/>
      <c r="E6" s="17"/>
    </row>
    <row r="7" spans="1:5" x14ac:dyDescent="0.25">
      <c r="A7" s="17"/>
      <c r="B7" s="17"/>
      <c r="C7" s="17"/>
      <c r="D7" s="17"/>
      <c r="E7" s="17"/>
    </row>
    <row r="8" spans="1:5" x14ac:dyDescent="0.25">
      <c r="A8" s="17"/>
      <c r="B8" s="17"/>
      <c r="C8" s="17"/>
      <c r="D8" s="17"/>
      <c r="E8" s="17"/>
    </row>
    <row r="9" spans="1:5" x14ac:dyDescent="0.25">
      <c r="A9" s="17"/>
      <c r="B9" s="17"/>
      <c r="C9" s="17"/>
      <c r="D9" s="17"/>
      <c r="E9" s="17"/>
    </row>
    <row r="10" spans="1:5" x14ac:dyDescent="0.25">
      <c r="A10" s="17"/>
      <c r="B10" s="17"/>
      <c r="C10" s="17"/>
      <c r="D10" s="17"/>
      <c r="E10" s="17"/>
    </row>
    <row r="11" spans="1:5" x14ac:dyDescent="0.25">
      <c r="A11" s="17"/>
      <c r="B11" s="17"/>
      <c r="C11" s="17"/>
      <c r="D11" s="17"/>
      <c r="E11" s="17"/>
    </row>
    <row r="12" spans="1:5" x14ac:dyDescent="0.25">
      <c r="A12" s="17"/>
      <c r="B12" s="17"/>
      <c r="C12" s="17"/>
      <c r="D12" s="17"/>
      <c r="E12" s="17"/>
    </row>
    <row r="13" spans="1:5" x14ac:dyDescent="0.25">
      <c r="A13" s="17"/>
      <c r="B13" s="17"/>
      <c r="C13" s="17"/>
      <c r="D13" s="17"/>
      <c r="E13" s="17"/>
    </row>
    <row r="14" spans="1:5" x14ac:dyDescent="0.25">
      <c r="A14" s="17"/>
      <c r="B14" s="17"/>
      <c r="C14" s="17"/>
      <c r="D14" s="17"/>
      <c r="E14" s="17"/>
    </row>
    <row r="15" spans="1:5" x14ac:dyDescent="0.25">
      <c r="A15" s="17"/>
      <c r="B15" s="17"/>
      <c r="C15" s="17"/>
      <c r="D15" s="17"/>
      <c r="E15" s="17"/>
    </row>
    <row r="16" spans="1:5" x14ac:dyDescent="0.25">
      <c r="A16" s="17"/>
      <c r="B16" s="17"/>
      <c r="C16" s="17"/>
      <c r="D16" s="17"/>
      <c r="E16" s="17"/>
    </row>
    <row r="17" spans="1:5" x14ac:dyDescent="0.25">
      <c r="A17" s="17" t="s">
        <v>501</v>
      </c>
      <c r="B17" s="17" t="s">
        <v>502</v>
      </c>
      <c r="C17" s="17" t="s">
        <v>503</v>
      </c>
      <c r="D17" s="17"/>
      <c r="E17" s="17"/>
    </row>
    <row r="18" spans="1:5" x14ac:dyDescent="0.25">
      <c r="A18" s="17"/>
      <c r="B18" s="17"/>
      <c r="C18" s="17"/>
      <c r="D18" s="17"/>
      <c r="E18" s="17"/>
    </row>
    <row r="19" spans="1:5" x14ac:dyDescent="0.25">
      <c r="A19" s="17"/>
      <c r="B19" s="17"/>
      <c r="C19" s="17"/>
      <c r="D19" s="17"/>
      <c r="E19" s="17"/>
    </row>
    <row r="20" spans="1:5" x14ac:dyDescent="0.25">
      <c r="A20" s="17"/>
      <c r="B20" s="17"/>
      <c r="C20" s="17"/>
      <c r="D20" s="17"/>
      <c r="E20" s="17"/>
    </row>
    <row r="21" spans="1:5" x14ac:dyDescent="0.25">
      <c r="A21" s="17"/>
      <c r="B21" s="17"/>
      <c r="C21" s="17"/>
      <c r="D21" s="17"/>
      <c r="E21" s="17"/>
    </row>
    <row r="22" spans="1:5" x14ac:dyDescent="0.25">
      <c r="A22" s="17"/>
      <c r="B22" s="17"/>
      <c r="C22" s="17"/>
      <c r="D22" s="17"/>
      <c r="E22" s="17"/>
    </row>
    <row r="23" spans="1:5" x14ac:dyDescent="0.25">
      <c r="A23" s="17"/>
      <c r="B23" s="17"/>
      <c r="C23" s="17"/>
      <c r="D23" s="17"/>
      <c r="E23" s="17"/>
    </row>
    <row r="24" spans="1:5" x14ac:dyDescent="0.25">
      <c r="A24" s="17"/>
      <c r="B24" s="17"/>
      <c r="C24" s="17"/>
      <c r="D24" s="17"/>
      <c r="E24" s="17"/>
    </row>
    <row r="25" spans="1:5" x14ac:dyDescent="0.25">
      <c r="A25" s="17"/>
      <c r="B25" s="17"/>
      <c r="C25" s="17"/>
      <c r="D25" s="17"/>
      <c r="E25" s="17"/>
    </row>
    <row r="26" spans="1:5" x14ac:dyDescent="0.25">
      <c r="A26" s="17"/>
      <c r="B26" s="17"/>
      <c r="C26" s="17"/>
      <c r="D26" s="17"/>
      <c r="E26" s="17"/>
    </row>
    <row r="27" spans="1:5" x14ac:dyDescent="0.25">
      <c r="A27" s="17"/>
      <c r="B27" s="17"/>
      <c r="C27" s="17"/>
      <c r="D27" s="17"/>
      <c r="E27" s="17"/>
    </row>
    <row r="28" spans="1:5" x14ac:dyDescent="0.25">
      <c r="A28" s="17"/>
      <c r="B28" s="17"/>
      <c r="C28" s="17"/>
      <c r="D28" s="17"/>
      <c r="E28" s="17"/>
    </row>
    <row r="29" spans="1:5" x14ac:dyDescent="0.25">
      <c r="A29" s="17"/>
      <c r="B29" s="17"/>
      <c r="C29" s="17"/>
      <c r="D29" s="17"/>
      <c r="E29" s="17"/>
    </row>
    <row r="30" spans="1:5" x14ac:dyDescent="0.25">
      <c r="A30" s="17"/>
      <c r="B30" s="17"/>
      <c r="C30" s="17"/>
      <c r="D30" s="17"/>
      <c r="E30" s="17"/>
    </row>
    <row r="31" spans="1:5" x14ac:dyDescent="0.25">
      <c r="A31" s="17"/>
      <c r="B31" s="17"/>
      <c r="C31" s="17"/>
      <c r="D31" s="17"/>
      <c r="E31" s="17"/>
    </row>
    <row r="32" spans="1:5" x14ac:dyDescent="0.25">
      <c r="A32" s="17"/>
      <c r="B32" s="17"/>
      <c r="C32" s="17"/>
      <c r="D32" s="17"/>
      <c r="E32" s="17"/>
    </row>
    <row r="33" spans="1:5" x14ac:dyDescent="0.25">
      <c r="A33" s="17"/>
      <c r="B33" s="17"/>
      <c r="C33" s="17"/>
      <c r="D33" s="17"/>
      <c r="E33" s="17"/>
    </row>
    <row r="34" spans="1:5" x14ac:dyDescent="0.25">
      <c r="A34" s="17"/>
      <c r="B34" s="17"/>
      <c r="C34" s="17"/>
      <c r="D34" s="17"/>
      <c r="E34" s="17"/>
    </row>
    <row r="35" spans="1:5" x14ac:dyDescent="0.25">
      <c r="A35" s="17"/>
      <c r="B35" s="17"/>
      <c r="C35" s="17"/>
      <c r="D35" s="17"/>
      <c r="E35" s="17"/>
    </row>
    <row r="36" spans="1:5" x14ac:dyDescent="0.25">
      <c r="A36" s="17"/>
      <c r="B36" s="17"/>
      <c r="C36" s="17"/>
      <c r="D36" s="17"/>
      <c r="E36" s="17"/>
    </row>
    <row r="37" spans="1:5" x14ac:dyDescent="0.25">
      <c r="A37" s="17"/>
      <c r="B37" s="17"/>
      <c r="C37" s="17"/>
      <c r="D37" s="17"/>
      <c r="E37" s="17"/>
    </row>
    <row r="38" spans="1:5" x14ac:dyDescent="0.25">
      <c r="A38" s="17"/>
      <c r="B38" s="17"/>
      <c r="C38" s="17"/>
      <c r="D38" s="17"/>
      <c r="E38" s="17"/>
    </row>
    <row r="39" spans="1:5" x14ac:dyDescent="0.25">
      <c r="A39" s="17"/>
      <c r="B39" s="17"/>
      <c r="C39" s="17"/>
      <c r="D39" s="17"/>
      <c r="E39" s="17"/>
    </row>
    <row r="40" spans="1:5" x14ac:dyDescent="0.25">
      <c r="A40" s="17"/>
      <c r="B40" s="17"/>
      <c r="C40" s="17"/>
      <c r="D40" s="17"/>
      <c r="E40" s="17"/>
    </row>
    <row r="41" spans="1:5" x14ac:dyDescent="0.25">
      <c r="A41" s="17"/>
      <c r="B41" s="17"/>
      <c r="C41" s="17"/>
      <c r="D41" s="17"/>
      <c r="E41" s="17"/>
    </row>
    <row r="42" spans="1:5" x14ac:dyDescent="0.25">
      <c r="A42" s="17"/>
      <c r="B42" s="17"/>
      <c r="C42" s="17"/>
      <c r="D42" s="17"/>
      <c r="E42" s="17"/>
    </row>
    <row r="43" spans="1:5" x14ac:dyDescent="0.25">
      <c r="A43" s="17"/>
      <c r="B43" s="17"/>
      <c r="C43" s="17"/>
      <c r="D43" s="17"/>
      <c r="E43" s="17"/>
    </row>
    <row r="44" spans="1:5" x14ac:dyDescent="0.25">
      <c r="A44" s="17"/>
      <c r="B44" s="17"/>
      <c r="C44" s="17"/>
      <c r="D44" s="17"/>
      <c r="E44" s="17"/>
    </row>
    <row r="45" spans="1:5" x14ac:dyDescent="0.25">
      <c r="A45" s="17"/>
      <c r="B45" s="17"/>
      <c r="C45" s="17"/>
      <c r="D45" s="17"/>
      <c r="E45" s="17"/>
    </row>
    <row r="46" spans="1:5" x14ac:dyDescent="0.25">
      <c r="A46" s="17"/>
      <c r="B46" s="17"/>
      <c r="C46" s="17"/>
      <c r="D46" s="17"/>
      <c r="E46" s="17"/>
    </row>
    <row r="47" spans="1:5" x14ac:dyDescent="0.25">
      <c r="A47" s="17"/>
      <c r="B47" s="17"/>
      <c r="C47" s="17"/>
      <c r="D47" s="17"/>
      <c r="E47" s="17"/>
    </row>
    <row r="48" spans="1:5" x14ac:dyDescent="0.25">
      <c r="A48" s="17"/>
      <c r="B48" s="17"/>
      <c r="C48" s="17"/>
      <c r="D48" s="17"/>
      <c r="E48" s="17"/>
    </row>
    <row r="49" spans="1:5" x14ac:dyDescent="0.25">
      <c r="A49" s="17"/>
      <c r="B49" s="17"/>
      <c r="C49" s="17"/>
      <c r="D49" s="17"/>
      <c r="E49" s="17"/>
    </row>
    <row r="50" spans="1:5" x14ac:dyDescent="0.25">
      <c r="A50" s="17"/>
      <c r="B50" s="17"/>
      <c r="C50" s="17"/>
      <c r="D50" s="17"/>
      <c r="E50" s="17"/>
    </row>
    <row r="51" spans="1:5" x14ac:dyDescent="0.25">
      <c r="A51" s="17"/>
      <c r="B51" s="17"/>
      <c r="C51" s="17"/>
      <c r="D51" s="17"/>
      <c r="E51" s="17"/>
    </row>
    <row r="52" spans="1:5" x14ac:dyDescent="0.25">
      <c r="A52" s="17"/>
      <c r="B52" s="17"/>
      <c r="C52" s="17"/>
      <c r="D52" s="17"/>
      <c r="E52" s="17"/>
    </row>
    <row r="53" spans="1:5" x14ac:dyDescent="0.25">
      <c r="A53" s="17"/>
      <c r="B53" s="17"/>
      <c r="C53" s="17"/>
      <c r="D53" s="17"/>
      <c r="E53" s="17"/>
    </row>
    <row r="54" spans="1:5" x14ac:dyDescent="0.25">
      <c r="A54" s="17"/>
      <c r="B54" s="17"/>
      <c r="C54" s="17"/>
      <c r="D54" s="17"/>
      <c r="E54" s="17"/>
    </row>
    <row r="55" spans="1:5" x14ac:dyDescent="0.25">
      <c r="A55" s="17"/>
      <c r="B55" s="17"/>
      <c r="C55" s="17"/>
      <c r="D55" s="17"/>
      <c r="E55" s="17"/>
    </row>
    <row r="56" spans="1:5" x14ac:dyDescent="0.25">
      <c r="A56" s="17"/>
      <c r="B56" s="17"/>
      <c r="C56" s="17"/>
      <c r="D56" s="17"/>
      <c r="E56" s="17"/>
    </row>
    <row r="57" spans="1:5" x14ac:dyDescent="0.25">
      <c r="A57" s="17"/>
      <c r="B57" s="17"/>
      <c r="C57" s="17"/>
      <c r="D57" s="17"/>
      <c r="E57" s="17"/>
    </row>
    <row r="58" spans="1:5" x14ac:dyDescent="0.25">
      <c r="A58" s="17"/>
      <c r="B58" s="17"/>
      <c r="C58" s="17"/>
      <c r="D58" s="17"/>
      <c r="E58" s="17"/>
    </row>
    <row r="59" spans="1:5" x14ac:dyDescent="0.25">
      <c r="A59" s="17"/>
      <c r="B59" s="17"/>
      <c r="C59" s="17"/>
      <c r="D59" s="17"/>
      <c r="E59" s="17"/>
    </row>
    <row r="60" spans="1:5" x14ac:dyDescent="0.25">
      <c r="A60" s="17"/>
      <c r="B60" s="17"/>
      <c r="C60" s="17"/>
      <c r="D60" s="17"/>
      <c r="E60" s="17"/>
    </row>
    <row r="61" spans="1:5" x14ac:dyDescent="0.25">
      <c r="A61" s="17"/>
      <c r="B61" s="17"/>
      <c r="C61" s="17"/>
      <c r="D61" s="17"/>
      <c r="E61" s="17"/>
    </row>
    <row r="62" spans="1:5" x14ac:dyDescent="0.25">
      <c r="A62" s="17"/>
      <c r="B62" s="17"/>
      <c r="C62" s="17"/>
      <c r="D62" s="17"/>
      <c r="E62" s="17"/>
    </row>
    <row r="63" spans="1:5" x14ac:dyDescent="0.25">
      <c r="A63" s="17"/>
      <c r="B63" s="17"/>
      <c r="C63" s="17"/>
      <c r="D63" s="17"/>
      <c r="E63" s="17"/>
    </row>
    <row r="64" spans="1:5" x14ac:dyDescent="0.25">
      <c r="A64" s="17"/>
      <c r="B64" s="17"/>
      <c r="C64" s="17"/>
      <c r="D64" s="17"/>
      <c r="E64" s="17"/>
    </row>
    <row r="65" spans="1:5" x14ac:dyDescent="0.25">
      <c r="A65" s="17"/>
      <c r="B65" s="17"/>
      <c r="C65" s="17"/>
      <c r="D65" s="17"/>
      <c r="E65" s="17"/>
    </row>
    <row r="66" spans="1:5" x14ac:dyDescent="0.25">
      <c r="A66" s="17"/>
      <c r="B66" s="17"/>
      <c r="C66" s="17"/>
      <c r="D66" s="17"/>
      <c r="E66" s="17"/>
    </row>
    <row r="67" spans="1:5" x14ac:dyDescent="0.25">
      <c r="A67" s="17"/>
      <c r="B67" s="17"/>
      <c r="C67" s="17"/>
      <c r="D67" s="17"/>
      <c r="E67" s="17"/>
    </row>
    <row r="68" spans="1:5" x14ac:dyDescent="0.25">
      <c r="A68" s="17"/>
      <c r="B68" s="17"/>
      <c r="C68" s="17"/>
      <c r="D68" s="17"/>
      <c r="E68" s="17"/>
    </row>
    <row r="69" spans="1:5" x14ac:dyDescent="0.25">
      <c r="A69" s="17"/>
      <c r="B69" s="17"/>
      <c r="C69" s="17"/>
      <c r="D69" s="17"/>
      <c r="E69" s="17"/>
    </row>
    <row r="70" spans="1:5" x14ac:dyDescent="0.25">
      <c r="A70" s="17"/>
      <c r="B70" s="17"/>
      <c r="C70" s="17"/>
      <c r="D70" s="17"/>
      <c r="E70" s="17"/>
    </row>
    <row r="71" spans="1:5" x14ac:dyDescent="0.25">
      <c r="A71" s="17"/>
      <c r="B71" s="17"/>
      <c r="C71" s="17"/>
      <c r="D71" s="17"/>
      <c r="E71" s="17"/>
    </row>
    <row r="72" spans="1:5" x14ac:dyDescent="0.25">
      <c r="A72" s="17"/>
      <c r="B72" s="17"/>
      <c r="C72" s="17"/>
      <c r="D72" s="17"/>
      <c r="E72" s="17"/>
    </row>
    <row r="73" spans="1:5" x14ac:dyDescent="0.25">
      <c r="A73" s="17"/>
      <c r="B73" s="17"/>
      <c r="C73" s="17"/>
      <c r="D73" s="17"/>
      <c r="E73" s="17"/>
    </row>
    <row r="74" spans="1:5" x14ac:dyDescent="0.25">
      <c r="A74" s="17"/>
      <c r="B74" s="17"/>
      <c r="C74" s="17"/>
      <c r="D74" s="17"/>
      <c r="E74" s="17"/>
    </row>
    <row r="75" spans="1:5" x14ac:dyDescent="0.25">
      <c r="A75" s="17"/>
      <c r="B75" s="17"/>
      <c r="C75" s="17"/>
      <c r="D75" s="17"/>
      <c r="E75" s="17"/>
    </row>
    <row r="76" spans="1:5" x14ac:dyDescent="0.25">
      <c r="A76" s="17"/>
      <c r="B76" s="17"/>
      <c r="C76" s="17"/>
      <c r="D76" s="17"/>
      <c r="E76" s="17"/>
    </row>
    <row r="77" spans="1:5" x14ac:dyDescent="0.25">
      <c r="A77" s="17"/>
      <c r="B77" s="17"/>
      <c r="C77" s="17"/>
      <c r="D77" s="17"/>
      <c r="E77" s="17"/>
    </row>
    <row r="78" spans="1:5" x14ac:dyDescent="0.25">
      <c r="A78" s="17"/>
      <c r="B78" s="17"/>
      <c r="C78" s="17"/>
      <c r="D78" s="17"/>
      <c r="E78" s="17"/>
    </row>
    <row r="79" spans="1:5" x14ac:dyDescent="0.25">
      <c r="A79" s="17"/>
      <c r="B79" s="17"/>
      <c r="C79" s="17"/>
      <c r="D79" s="17"/>
      <c r="E79" s="17"/>
    </row>
    <row r="80" spans="1:5" x14ac:dyDescent="0.25">
      <c r="A80" s="17"/>
      <c r="B80" s="17"/>
      <c r="C80" s="17"/>
      <c r="D80" s="17"/>
      <c r="E80" s="17"/>
    </row>
    <row r="81" spans="1:5" x14ac:dyDescent="0.25">
      <c r="A81" s="17"/>
      <c r="B81" s="17"/>
      <c r="C81" s="17"/>
      <c r="D81" s="17"/>
      <c r="E81" s="17"/>
    </row>
    <row r="82" spans="1:5" x14ac:dyDescent="0.25">
      <c r="A82" s="17"/>
      <c r="B82" s="17"/>
      <c r="C82" s="17"/>
      <c r="D82" s="17"/>
      <c r="E82" s="17"/>
    </row>
    <row r="83" spans="1:5" x14ac:dyDescent="0.25">
      <c r="A83" s="17"/>
      <c r="B83" s="17"/>
      <c r="C83" s="17"/>
      <c r="D83" s="17"/>
      <c r="E83" s="17"/>
    </row>
    <row r="84" spans="1:5" x14ac:dyDescent="0.25">
      <c r="A84" s="17"/>
      <c r="B84" s="17"/>
      <c r="C84" s="17"/>
      <c r="D84" s="17"/>
      <c r="E84" s="17"/>
    </row>
    <row r="85" spans="1:5" x14ac:dyDescent="0.25">
      <c r="A85" s="17"/>
      <c r="B85" s="17"/>
      <c r="C85" s="17"/>
      <c r="D85" s="17"/>
      <c r="E85" s="17"/>
    </row>
    <row r="86" spans="1:5" x14ac:dyDescent="0.25">
      <c r="A86" s="17"/>
      <c r="B86" s="17"/>
      <c r="C86" s="17"/>
      <c r="D86" s="17"/>
      <c r="E86" s="17"/>
    </row>
    <row r="87" spans="1:5" x14ac:dyDescent="0.25">
      <c r="A87" s="17"/>
      <c r="B87" s="17"/>
      <c r="C87" s="17"/>
      <c r="D87" s="17"/>
      <c r="E87" s="17"/>
    </row>
    <row r="88" spans="1:5" x14ac:dyDescent="0.25">
      <c r="A88" s="17"/>
      <c r="B88" s="17"/>
      <c r="C88" s="17"/>
      <c r="D88" s="17"/>
      <c r="E88" s="17"/>
    </row>
    <row r="89" spans="1:5" x14ac:dyDescent="0.25">
      <c r="A89" s="17"/>
      <c r="B89" s="17"/>
      <c r="C89" s="17"/>
      <c r="D89" s="17"/>
      <c r="E89" s="17"/>
    </row>
    <row r="90" spans="1:5" x14ac:dyDescent="0.25">
      <c r="A90" s="17"/>
      <c r="B90" s="17"/>
      <c r="C90" s="17"/>
      <c r="D90" s="17"/>
      <c r="E90" s="17"/>
    </row>
    <row r="91" spans="1:5" x14ac:dyDescent="0.25">
      <c r="A91" s="17"/>
      <c r="B91" s="17"/>
      <c r="C91" s="17"/>
      <c r="D91" s="17"/>
      <c r="E91" s="17"/>
    </row>
    <row r="92" spans="1:5" x14ac:dyDescent="0.25">
      <c r="A92" s="17"/>
      <c r="B92" s="17"/>
      <c r="C92" s="17"/>
      <c r="D92" s="17"/>
      <c r="E92" s="17"/>
    </row>
    <row r="93" spans="1:5" x14ac:dyDescent="0.25">
      <c r="A93" s="17"/>
      <c r="B93" s="17"/>
      <c r="C93" s="17"/>
      <c r="D93" s="17"/>
      <c r="E93" s="17"/>
    </row>
    <row r="94" spans="1:5" x14ac:dyDescent="0.25">
      <c r="A94" s="17"/>
      <c r="B94" s="17"/>
      <c r="C94" s="17"/>
      <c r="D94" s="17"/>
      <c r="E94" s="17"/>
    </row>
    <row r="95" spans="1:5" x14ac:dyDescent="0.25">
      <c r="A95" s="17"/>
      <c r="B95" s="17"/>
      <c r="C95" s="17"/>
      <c r="D95" s="17"/>
      <c r="E95" s="17"/>
    </row>
    <row r="96" spans="1:5" x14ac:dyDescent="0.25">
      <c r="A96" s="17"/>
      <c r="B96" s="17"/>
      <c r="C96" s="17"/>
      <c r="D96" s="17"/>
      <c r="E96" s="17"/>
    </row>
    <row r="97" spans="1:5" x14ac:dyDescent="0.25">
      <c r="A97" s="17"/>
      <c r="B97" s="17"/>
      <c r="C97" s="17"/>
      <c r="D97" s="17"/>
      <c r="E97" s="17"/>
    </row>
    <row r="98" spans="1:5" x14ac:dyDescent="0.25">
      <c r="A98" s="17"/>
      <c r="B98" s="17"/>
      <c r="C98" s="17"/>
      <c r="D98" s="17"/>
      <c r="E98" s="17"/>
    </row>
    <row r="99" spans="1:5" x14ac:dyDescent="0.25">
      <c r="A99" s="17"/>
      <c r="B99" s="17"/>
      <c r="C99" s="17"/>
      <c r="D99" s="17"/>
      <c r="E99" s="17"/>
    </row>
    <row r="100" spans="1:5" x14ac:dyDescent="0.25">
      <c r="A100" s="17"/>
      <c r="B100" s="17"/>
      <c r="C100" s="17"/>
      <c r="D100" s="17"/>
      <c r="E100" s="17"/>
    </row>
    <row r="101" spans="1:5" x14ac:dyDescent="0.25">
      <c r="A101" s="17"/>
      <c r="B101" s="17"/>
      <c r="C101" s="17"/>
      <c r="D101" s="17"/>
      <c r="E101" s="17"/>
    </row>
    <row r="102" spans="1:5" x14ac:dyDescent="0.25">
      <c r="A102" s="17"/>
      <c r="B102" s="17"/>
      <c r="C102" s="17"/>
      <c r="D102" s="17"/>
      <c r="E102" s="17"/>
    </row>
    <row r="103" spans="1:5" x14ac:dyDescent="0.25">
      <c r="A103" s="17"/>
      <c r="B103" s="17"/>
      <c r="C103" s="17"/>
      <c r="D103" s="17"/>
      <c r="E103" s="17"/>
    </row>
    <row r="104" spans="1:5" x14ac:dyDescent="0.25">
      <c r="A104" s="17"/>
      <c r="B104" s="17"/>
      <c r="C104" s="17"/>
      <c r="D104" s="17"/>
      <c r="E104" s="17"/>
    </row>
    <row r="105" spans="1:5" x14ac:dyDescent="0.25">
      <c r="A105" s="17"/>
      <c r="B105" s="17"/>
      <c r="C105" s="17"/>
      <c r="D105" s="17"/>
      <c r="E105" s="17"/>
    </row>
    <row r="106" spans="1:5" x14ac:dyDescent="0.25">
      <c r="A106" s="17"/>
      <c r="B106" s="17"/>
      <c r="C106" s="17"/>
      <c r="D106" s="17"/>
      <c r="E106" s="17"/>
    </row>
    <row r="107" spans="1:5" x14ac:dyDescent="0.25">
      <c r="A107" s="17"/>
      <c r="B107" s="17"/>
      <c r="C107" s="17"/>
      <c r="D107" s="17"/>
      <c r="E107" s="17"/>
    </row>
    <row r="108" spans="1:5" x14ac:dyDescent="0.25">
      <c r="A108" s="17"/>
      <c r="B108" s="17"/>
      <c r="C108" s="17"/>
      <c r="D108" s="17"/>
      <c r="E108" s="17"/>
    </row>
    <row r="109" spans="1:5" x14ac:dyDescent="0.25">
      <c r="A109" s="17"/>
      <c r="B109" s="17"/>
      <c r="C109" s="17"/>
      <c r="D109" s="17"/>
      <c r="E109" s="17"/>
    </row>
    <row r="110" spans="1:5" x14ac:dyDescent="0.25">
      <c r="A110" s="17"/>
      <c r="B110" s="17"/>
      <c r="C110" s="17"/>
      <c r="D110" s="17"/>
      <c r="E110" s="17"/>
    </row>
    <row r="111" spans="1:5" x14ac:dyDescent="0.25">
      <c r="A111" s="17"/>
      <c r="B111" s="17"/>
      <c r="C111" s="17"/>
      <c r="D111" s="17"/>
      <c r="E111" s="17"/>
    </row>
    <row r="112" spans="1:5" x14ac:dyDescent="0.25">
      <c r="A112" s="17"/>
      <c r="B112" s="17"/>
      <c r="C112" s="17"/>
      <c r="D112" s="17"/>
      <c r="E112" s="17"/>
    </row>
    <row r="113" spans="1:5" x14ac:dyDescent="0.25">
      <c r="A113" s="17"/>
      <c r="B113" s="17"/>
      <c r="C113" s="17"/>
      <c r="D113" s="17"/>
      <c r="E113" s="17"/>
    </row>
    <row r="114" spans="1:5" x14ac:dyDescent="0.25">
      <c r="A114" s="17"/>
      <c r="B114" s="17"/>
      <c r="C114" s="17"/>
      <c r="D114" s="17"/>
      <c r="E114" s="17"/>
    </row>
    <row r="115" spans="1:5" x14ac:dyDescent="0.25">
      <c r="A115" s="17"/>
      <c r="B115" s="17"/>
      <c r="C115" s="17"/>
      <c r="D115" s="17"/>
      <c r="E115" s="17"/>
    </row>
    <row r="116" spans="1:5" x14ac:dyDescent="0.25">
      <c r="A116" s="17"/>
      <c r="B116" s="17"/>
      <c r="C116" s="17"/>
      <c r="D116" s="17"/>
      <c r="E116" s="17"/>
    </row>
    <row r="117" spans="1:5" x14ac:dyDescent="0.25">
      <c r="A117" s="17"/>
      <c r="B117" s="17"/>
      <c r="C117" s="17"/>
      <c r="D117" s="17"/>
      <c r="E117" s="17"/>
    </row>
    <row r="118" spans="1:5" x14ac:dyDescent="0.25">
      <c r="A118" s="17"/>
      <c r="B118" s="17"/>
      <c r="C118" s="17"/>
      <c r="D118" s="17"/>
      <c r="E118" s="17"/>
    </row>
    <row r="119" spans="1:5" x14ac:dyDescent="0.25">
      <c r="A119" s="17"/>
      <c r="B119" s="17"/>
      <c r="C119" s="17"/>
      <c r="D119" s="17"/>
      <c r="E119" s="17"/>
    </row>
    <row r="120" spans="1:5" x14ac:dyDescent="0.25">
      <c r="A120" s="17"/>
      <c r="B120" s="17"/>
      <c r="C120" s="17"/>
      <c r="D120" s="17"/>
      <c r="E120" s="17"/>
    </row>
    <row r="121" spans="1:5" x14ac:dyDescent="0.25">
      <c r="A121" s="17"/>
      <c r="B121" s="17"/>
      <c r="C121" s="17"/>
      <c r="D121" s="17"/>
      <c r="E121" s="17"/>
    </row>
    <row r="122" spans="1:5" x14ac:dyDescent="0.25">
      <c r="A122" s="17"/>
      <c r="B122" s="17"/>
      <c r="C122" s="17"/>
      <c r="D122" s="17"/>
      <c r="E122" s="17"/>
    </row>
    <row r="123" spans="1:5" x14ac:dyDescent="0.25">
      <c r="A123" s="17"/>
      <c r="B123" s="17"/>
      <c r="C123" s="17"/>
      <c r="D123" s="17"/>
      <c r="E123" s="17"/>
    </row>
    <row r="124" spans="1:5" x14ac:dyDescent="0.25">
      <c r="A124" s="17"/>
      <c r="B124" s="17"/>
      <c r="C124" s="17"/>
      <c r="D124" s="17"/>
      <c r="E124" s="17"/>
    </row>
    <row r="125" spans="1:5" x14ac:dyDescent="0.25">
      <c r="A125" s="17"/>
      <c r="B125" s="17"/>
      <c r="C125" s="17"/>
      <c r="D125" s="17"/>
      <c r="E125" s="17"/>
    </row>
    <row r="126" spans="1:5" x14ac:dyDescent="0.25">
      <c r="A126" s="17"/>
      <c r="B126" s="17"/>
      <c r="C126" s="17"/>
      <c r="D126" s="17"/>
      <c r="E126" s="17"/>
    </row>
    <row r="127" spans="1:5" x14ac:dyDescent="0.25">
      <c r="A127" s="17"/>
      <c r="B127" s="17"/>
      <c r="C127" s="17"/>
      <c r="D127" s="17"/>
      <c r="E127" s="17"/>
    </row>
    <row r="128" spans="1:5" x14ac:dyDescent="0.25">
      <c r="A128" s="17"/>
      <c r="B128" s="17"/>
      <c r="C128" s="17"/>
      <c r="D128" s="17"/>
      <c r="E128" s="17"/>
    </row>
    <row r="129" spans="1:5" x14ac:dyDescent="0.25">
      <c r="A129" s="17"/>
      <c r="B129" s="17"/>
      <c r="C129" s="17"/>
      <c r="D129" s="17"/>
      <c r="E129" s="17"/>
    </row>
    <row r="130" spans="1:5" x14ac:dyDescent="0.25">
      <c r="A130" s="17"/>
      <c r="B130" s="17"/>
      <c r="C130" s="17"/>
      <c r="D130" s="17"/>
      <c r="E130" s="17"/>
    </row>
    <row r="131" spans="1:5" x14ac:dyDescent="0.25">
      <c r="A131" s="17"/>
      <c r="B131" s="17"/>
      <c r="C131" s="17"/>
      <c r="D131" s="17"/>
      <c r="E131" s="17"/>
    </row>
    <row r="132" spans="1:5" x14ac:dyDescent="0.25">
      <c r="A132" s="17"/>
      <c r="B132" s="17"/>
      <c r="C132" s="17"/>
      <c r="D132" s="17"/>
      <c r="E132" s="17"/>
    </row>
    <row r="133" spans="1:5" x14ac:dyDescent="0.25">
      <c r="A133" s="17"/>
      <c r="B133" s="17"/>
      <c r="C133" s="17"/>
      <c r="D133" s="17"/>
      <c r="E133" s="17"/>
    </row>
    <row r="134" spans="1:5" x14ac:dyDescent="0.25">
      <c r="A134" s="17"/>
      <c r="B134" s="17"/>
      <c r="C134" s="17"/>
      <c r="D134" s="17"/>
      <c r="E134" s="17"/>
    </row>
    <row r="135" spans="1:5" x14ac:dyDescent="0.25">
      <c r="A135" s="17"/>
      <c r="B135" s="17"/>
      <c r="C135" s="17"/>
      <c r="D135" s="17"/>
      <c r="E135" s="17"/>
    </row>
    <row r="136" spans="1:5" x14ac:dyDescent="0.25">
      <c r="A136" s="17"/>
      <c r="B136" s="17"/>
      <c r="C136" s="17"/>
      <c r="D136" s="17"/>
      <c r="E136" s="17"/>
    </row>
    <row r="137" spans="1:5" x14ac:dyDescent="0.25">
      <c r="A137" s="17"/>
      <c r="B137" s="17"/>
      <c r="C137" s="17"/>
      <c r="D137" s="17"/>
      <c r="E137" s="17"/>
    </row>
    <row r="138" spans="1:5" x14ac:dyDescent="0.25">
      <c r="A138" s="17"/>
      <c r="B138" s="17"/>
      <c r="C138" s="17"/>
      <c r="D138" s="17"/>
      <c r="E138" s="17"/>
    </row>
    <row r="139" spans="1:5" x14ac:dyDescent="0.25">
      <c r="A139" s="17"/>
      <c r="B139" s="17"/>
      <c r="C139" s="17"/>
      <c r="D139" s="17"/>
      <c r="E139" s="17"/>
    </row>
    <row r="140" spans="1:5" x14ac:dyDescent="0.25">
      <c r="A140" s="17"/>
      <c r="B140" s="17"/>
      <c r="C140" s="17"/>
      <c r="D140" s="17"/>
      <c r="E140" s="17"/>
    </row>
    <row r="141" spans="1:5" x14ac:dyDescent="0.25">
      <c r="A141" s="17"/>
      <c r="B141" s="17"/>
      <c r="C141" s="17"/>
      <c r="D141" s="17"/>
      <c r="E141" s="17"/>
    </row>
    <row r="142" spans="1:5" x14ac:dyDescent="0.25">
      <c r="A142" s="17"/>
      <c r="B142" s="17"/>
      <c r="C142" s="17"/>
      <c r="D142" s="17"/>
      <c r="E142" s="17"/>
    </row>
    <row r="143" spans="1:5" x14ac:dyDescent="0.25">
      <c r="A143" s="17"/>
      <c r="B143" s="17"/>
      <c r="C143" s="17"/>
      <c r="D143" s="17"/>
      <c r="E143" s="17"/>
    </row>
    <row r="144" spans="1:5" x14ac:dyDescent="0.25">
      <c r="A144" s="17"/>
      <c r="B144" s="17"/>
      <c r="C144" s="17"/>
      <c r="D144" s="17"/>
      <c r="E144" s="17"/>
    </row>
    <row r="145" spans="1:5" x14ac:dyDescent="0.25">
      <c r="A145" s="17"/>
      <c r="B145" s="17"/>
      <c r="C145" s="17"/>
      <c r="D145" s="17"/>
      <c r="E145" s="17"/>
    </row>
    <row r="146" spans="1:5" x14ac:dyDescent="0.25">
      <c r="A146" s="17"/>
      <c r="B146" s="17"/>
      <c r="C146" s="17"/>
      <c r="D146" s="17"/>
      <c r="E146" s="17"/>
    </row>
    <row r="147" spans="1:5" x14ac:dyDescent="0.25">
      <c r="A147" s="17"/>
      <c r="B147" s="17"/>
      <c r="C147" s="17"/>
      <c r="D147" s="17"/>
      <c r="E147" s="17"/>
    </row>
    <row r="148" spans="1:5" x14ac:dyDescent="0.25">
      <c r="A148" s="17"/>
      <c r="B148" s="17"/>
      <c r="C148" s="17"/>
      <c r="D148" s="17"/>
      <c r="E148" s="17"/>
    </row>
    <row r="149" spans="1:5" x14ac:dyDescent="0.25">
      <c r="A149" s="17"/>
      <c r="B149" s="17"/>
      <c r="C149" s="17"/>
      <c r="D149" s="17"/>
      <c r="E149" s="17"/>
    </row>
    <row r="150" spans="1:5" x14ac:dyDescent="0.25">
      <c r="A150" s="17"/>
      <c r="B150" s="17"/>
      <c r="C150" s="17"/>
      <c r="D150" s="17"/>
      <c r="E150" s="17"/>
    </row>
    <row r="151" spans="1:5" x14ac:dyDescent="0.25">
      <c r="A151" s="17"/>
      <c r="B151" s="17"/>
      <c r="C151" s="17"/>
      <c r="D151" s="17"/>
      <c r="E151" s="17"/>
    </row>
    <row r="152" spans="1:5" x14ac:dyDescent="0.25">
      <c r="A152" s="17"/>
      <c r="B152" s="17"/>
      <c r="C152" s="17"/>
      <c r="D152" s="17"/>
      <c r="E152" s="17"/>
    </row>
    <row r="153" spans="1:5" x14ac:dyDescent="0.25">
      <c r="A153" s="17"/>
      <c r="B153" s="17"/>
      <c r="C153" s="17"/>
      <c r="D153" s="17"/>
      <c r="E153" s="17"/>
    </row>
    <row r="154" spans="1:5" x14ac:dyDescent="0.25">
      <c r="A154" s="17"/>
      <c r="B154" s="17"/>
      <c r="C154" s="17"/>
      <c r="D154" s="17"/>
      <c r="E154" s="17"/>
    </row>
    <row r="155" spans="1:5" x14ac:dyDescent="0.25">
      <c r="A155" s="17"/>
      <c r="B155" s="17"/>
      <c r="C155" s="17"/>
      <c r="D155" s="17"/>
      <c r="E155" s="17"/>
    </row>
    <row r="156" spans="1:5" x14ac:dyDescent="0.25">
      <c r="A156" s="17"/>
      <c r="B156" s="17"/>
      <c r="C156" s="17"/>
      <c r="D156" s="17"/>
      <c r="E156" s="17"/>
    </row>
    <row r="157" spans="1:5" x14ac:dyDescent="0.25">
      <c r="A157" s="17"/>
      <c r="B157" s="17"/>
      <c r="C157" s="17"/>
      <c r="D157" s="17"/>
      <c r="E157" s="17"/>
    </row>
    <row r="158" spans="1:5" x14ac:dyDescent="0.25">
      <c r="A158" s="17"/>
      <c r="B158" s="17"/>
      <c r="C158" s="17"/>
      <c r="D158" s="17"/>
      <c r="E158" s="17"/>
    </row>
    <row r="159" spans="1:5" x14ac:dyDescent="0.25">
      <c r="A159" s="17"/>
      <c r="B159" s="17"/>
      <c r="C159" s="17"/>
      <c r="D159" s="17"/>
      <c r="E159" s="17"/>
    </row>
    <row r="160" spans="1:5" x14ac:dyDescent="0.25">
      <c r="A160" s="17"/>
      <c r="B160" s="17"/>
      <c r="C160" s="17"/>
      <c r="D160" s="17"/>
      <c r="E160" s="17"/>
    </row>
    <row r="161" spans="1:5" x14ac:dyDescent="0.25">
      <c r="A161" s="17"/>
      <c r="B161" s="17"/>
      <c r="C161" s="17"/>
      <c r="D161" s="17"/>
      <c r="E161" s="17"/>
    </row>
    <row r="162" spans="1:5" x14ac:dyDescent="0.25">
      <c r="A162" s="17"/>
      <c r="B162" s="17"/>
      <c r="C162" s="17"/>
      <c r="D162" s="17"/>
      <c r="E162" s="17"/>
    </row>
    <row r="163" spans="1:5" x14ac:dyDescent="0.25">
      <c r="A163" s="17"/>
      <c r="B163" s="17"/>
      <c r="C163" s="17"/>
      <c r="D163" s="17"/>
      <c r="E163" s="17"/>
    </row>
    <row r="164" spans="1:5" x14ac:dyDescent="0.25">
      <c r="A164" s="17"/>
      <c r="B164" s="17"/>
      <c r="C164" s="17"/>
      <c r="D164" s="17"/>
      <c r="E164" s="17"/>
    </row>
    <row r="165" spans="1:5" x14ac:dyDescent="0.25">
      <c r="A165" s="17"/>
      <c r="B165" s="17"/>
      <c r="C165" s="17"/>
      <c r="D165" s="17"/>
      <c r="E165" s="17"/>
    </row>
    <row r="166" spans="1:5" x14ac:dyDescent="0.25">
      <c r="A166" s="17"/>
      <c r="B166" s="17"/>
      <c r="C166" s="17"/>
      <c r="D166" s="17"/>
      <c r="E166" s="17"/>
    </row>
    <row r="167" spans="1:5" x14ac:dyDescent="0.25">
      <c r="A167" s="17"/>
      <c r="B167" s="17"/>
      <c r="C167" s="17"/>
      <c r="D167" s="17"/>
      <c r="E167" s="17"/>
    </row>
    <row r="168" spans="1:5" x14ac:dyDescent="0.25">
      <c r="A168" s="17"/>
      <c r="B168" s="17"/>
      <c r="C168" s="17"/>
      <c r="D168" s="17"/>
      <c r="E168" s="17"/>
    </row>
    <row r="169" spans="1:5" x14ac:dyDescent="0.25">
      <c r="A169" s="17"/>
      <c r="B169" s="17"/>
      <c r="C169" s="17"/>
      <c r="D169" s="17"/>
      <c r="E169" s="17"/>
    </row>
    <row r="170" spans="1:5" x14ac:dyDescent="0.25">
      <c r="A170" s="17"/>
      <c r="B170" s="17"/>
      <c r="C170" s="17"/>
      <c r="D170" s="17"/>
      <c r="E170" s="17"/>
    </row>
    <row r="171" spans="1:5" x14ac:dyDescent="0.25">
      <c r="A171" s="17"/>
      <c r="B171" s="17"/>
      <c r="C171" s="17"/>
      <c r="D171" s="17"/>
      <c r="E171" s="17"/>
    </row>
    <row r="172" spans="1:5" x14ac:dyDescent="0.25">
      <c r="A172" s="17"/>
      <c r="B172" s="17"/>
      <c r="C172" s="17"/>
      <c r="D172" s="17"/>
      <c r="E172" s="17"/>
    </row>
    <row r="173" spans="1:5" x14ac:dyDescent="0.25">
      <c r="A173" s="17"/>
      <c r="B173" s="17"/>
      <c r="C173" s="17"/>
      <c r="D173" s="17"/>
      <c r="E173" s="17"/>
    </row>
    <row r="174" spans="1:5" x14ac:dyDescent="0.25">
      <c r="A174" s="17"/>
      <c r="B174" s="17"/>
      <c r="C174" s="17"/>
      <c r="D174" s="17"/>
      <c r="E174" s="17"/>
    </row>
    <row r="175" spans="1:5" x14ac:dyDescent="0.25">
      <c r="A175" s="17"/>
      <c r="B175" s="17"/>
      <c r="C175" s="17"/>
      <c r="D175" s="17"/>
      <c r="E175" s="17"/>
    </row>
    <row r="176" spans="1:5" x14ac:dyDescent="0.25">
      <c r="A176" s="17"/>
      <c r="B176" s="17"/>
      <c r="C176" s="17"/>
      <c r="D176" s="17"/>
      <c r="E176" s="17"/>
    </row>
    <row r="177" spans="1:5" x14ac:dyDescent="0.25">
      <c r="A177" s="17"/>
      <c r="B177" s="17"/>
      <c r="C177" s="17"/>
      <c r="D177" s="17"/>
      <c r="E177" s="17"/>
    </row>
    <row r="178" spans="1:5" x14ac:dyDescent="0.25">
      <c r="A178" s="17"/>
      <c r="B178" s="17"/>
      <c r="C178" s="17"/>
      <c r="D178" s="17"/>
      <c r="E178" s="17"/>
    </row>
    <row r="179" spans="1:5" x14ac:dyDescent="0.25">
      <c r="A179" s="17"/>
      <c r="B179" s="17"/>
      <c r="C179" s="17"/>
      <c r="D179" s="17"/>
      <c r="E179" s="17"/>
    </row>
    <row r="180" spans="1:5" x14ac:dyDescent="0.25">
      <c r="A180" s="17"/>
      <c r="B180" s="17"/>
      <c r="C180" s="17"/>
      <c r="D180" s="17"/>
      <c r="E180" s="17"/>
    </row>
    <row r="181" spans="1:5" x14ac:dyDescent="0.25">
      <c r="A181" s="17"/>
      <c r="B181" s="17"/>
      <c r="C181" s="17"/>
      <c r="D181" s="17"/>
      <c r="E181" s="17"/>
    </row>
    <row r="182" spans="1:5" x14ac:dyDescent="0.25">
      <c r="A182" s="17"/>
      <c r="B182" s="17"/>
      <c r="C182" s="17"/>
      <c r="D182" s="17"/>
      <c r="E182" s="17"/>
    </row>
    <row r="183" spans="1:5" x14ac:dyDescent="0.25">
      <c r="A183" s="17"/>
      <c r="B183" s="17"/>
      <c r="C183" s="17"/>
      <c r="D183" s="17"/>
      <c r="E183" s="17"/>
    </row>
    <row r="184" spans="1:5" x14ac:dyDescent="0.25">
      <c r="A184" s="17"/>
      <c r="B184" s="17"/>
      <c r="C184" s="17"/>
      <c r="D184" s="17"/>
      <c r="E184" s="17"/>
    </row>
    <row r="185" spans="1:5" x14ac:dyDescent="0.25">
      <c r="A185" s="17"/>
      <c r="B185" s="17"/>
      <c r="C185" s="17"/>
      <c r="D185" s="17"/>
      <c r="E185" s="17"/>
    </row>
    <row r="186" spans="1:5" x14ac:dyDescent="0.25">
      <c r="A186" s="17"/>
      <c r="B186" s="17"/>
      <c r="C186" s="17"/>
      <c r="D186" s="17"/>
      <c r="E186" s="17"/>
    </row>
    <row r="187" spans="1:5" x14ac:dyDescent="0.25">
      <c r="A187" s="17"/>
      <c r="B187" s="17"/>
      <c r="C187" s="17"/>
      <c r="D187" s="17"/>
      <c r="E187" s="17"/>
    </row>
    <row r="188" spans="1:5" x14ac:dyDescent="0.25">
      <c r="A188" s="17"/>
      <c r="B188" s="17"/>
      <c r="C188" s="17"/>
      <c r="D188" s="17"/>
      <c r="E188" s="17"/>
    </row>
    <row r="189" spans="1:5" x14ac:dyDescent="0.25">
      <c r="A189" s="17"/>
      <c r="B189" s="17"/>
      <c r="C189" s="17"/>
      <c r="D189" s="17"/>
      <c r="E189" s="17"/>
    </row>
    <row r="190" spans="1:5" x14ac:dyDescent="0.25">
      <c r="A190" s="17"/>
      <c r="B190" s="17"/>
      <c r="C190" s="17"/>
      <c r="D190" s="17"/>
      <c r="E190" s="17"/>
    </row>
    <row r="191" spans="1:5" x14ac:dyDescent="0.25">
      <c r="A191" s="17"/>
      <c r="B191" s="17"/>
      <c r="C191" s="17"/>
      <c r="D191" s="17"/>
      <c r="E191" s="17"/>
    </row>
    <row r="192" spans="1:5" x14ac:dyDescent="0.25">
      <c r="A192" s="17"/>
      <c r="B192" s="17"/>
      <c r="C192" s="17"/>
      <c r="D192" s="17"/>
      <c r="E192" s="17"/>
    </row>
    <row r="193" spans="1:5" x14ac:dyDescent="0.25">
      <c r="A193" s="17"/>
      <c r="B193" s="17"/>
      <c r="C193" s="17"/>
      <c r="D193" s="17"/>
      <c r="E193" s="17"/>
    </row>
    <row r="194" spans="1:5" x14ac:dyDescent="0.25">
      <c r="A194" s="17"/>
      <c r="B194" s="17"/>
      <c r="C194" s="17"/>
      <c r="D194" s="17"/>
      <c r="E194" s="17"/>
    </row>
    <row r="195" spans="1:5" x14ac:dyDescent="0.25">
      <c r="A195" s="17"/>
      <c r="B195" s="17"/>
      <c r="C195" s="17"/>
      <c r="D195" s="17"/>
      <c r="E195" s="17"/>
    </row>
    <row r="196" spans="1:5" x14ac:dyDescent="0.25">
      <c r="A196" s="17"/>
      <c r="B196" s="17"/>
      <c r="C196" s="17"/>
      <c r="D196" s="17"/>
      <c r="E196" s="17"/>
    </row>
    <row r="197" spans="1:5" x14ac:dyDescent="0.25">
      <c r="A197" s="17"/>
      <c r="B197" s="17"/>
      <c r="C197" s="17"/>
      <c r="D197" s="17"/>
      <c r="E197" s="17"/>
    </row>
    <row r="198" spans="1:5" x14ac:dyDescent="0.25">
      <c r="A198" s="17"/>
      <c r="B198" s="17"/>
      <c r="C198" s="17"/>
      <c r="D198" s="17"/>
      <c r="E198" s="17"/>
    </row>
    <row r="199" spans="1:5" x14ac:dyDescent="0.25">
      <c r="A199" s="17"/>
      <c r="B199" s="17"/>
      <c r="C199" s="17"/>
      <c r="D199" s="17"/>
      <c r="E199" s="17"/>
    </row>
    <row r="200" spans="1:5" x14ac:dyDescent="0.25">
      <c r="A200" s="17"/>
      <c r="B200" s="17"/>
      <c r="C200" s="17"/>
      <c r="D200" s="17"/>
      <c r="E200" s="17"/>
    </row>
    <row r="201" spans="1:5" x14ac:dyDescent="0.25">
      <c r="A201" s="17"/>
      <c r="B201" s="17"/>
      <c r="C201" s="17"/>
      <c r="D201" s="17"/>
      <c r="E201" s="17"/>
    </row>
    <row r="202" spans="1:5" x14ac:dyDescent="0.25">
      <c r="A202" s="17"/>
      <c r="B202" s="17"/>
      <c r="C202" s="17"/>
      <c r="D202" s="17"/>
      <c r="E202" s="17"/>
    </row>
    <row r="203" spans="1:5" x14ac:dyDescent="0.25">
      <c r="A203" s="17"/>
      <c r="B203" s="17"/>
      <c r="C203" s="17"/>
      <c r="D203" s="17"/>
      <c r="E203" s="17"/>
    </row>
    <row r="204" spans="1:5" x14ac:dyDescent="0.25">
      <c r="A204" s="17"/>
      <c r="B204" s="17"/>
      <c r="C204" s="17"/>
      <c r="D204" s="17"/>
      <c r="E204" s="17"/>
    </row>
    <row r="205" spans="1:5" x14ac:dyDescent="0.25">
      <c r="A205" s="17"/>
      <c r="B205" s="17"/>
      <c r="C205" s="17"/>
      <c r="D205" s="17"/>
      <c r="E205" s="17"/>
    </row>
    <row r="206" spans="1:5" x14ac:dyDescent="0.25">
      <c r="A206" s="17"/>
      <c r="B206" s="17"/>
      <c r="C206" s="17"/>
      <c r="D206" s="17"/>
      <c r="E206" s="17"/>
    </row>
    <row r="207" spans="1:5" x14ac:dyDescent="0.25">
      <c r="A207" s="17"/>
      <c r="B207" s="17"/>
      <c r="C207" s="17"/>
      <c r="D207" s="17"/>
      <c r="E207" s="17"/>
    </row>
    <row r="208" spans="1:5" x14ac:dyDescent="0.25">
      <c r="A208" s="17"/>
      <c r="B208" s="17"/>
      <c r="C208" s="17"/>
      <c r="D208" s="17"/>
      <c r="E208" s="17"/>
    </row>
    <row r="209" spans="1:5" x14ac:dyDescent="0.25">
      <c r="A209" s="17"/>
      <c r="B209" s="17"/>
      <c r="C209" s="17"/>
      <c r="D209" s="17"/>
      <c r="E209" s="17"/>
    </row>
    <row r="210" spans="1:5" x14ac:dyDescent="0.25">
      <c r="A210" s="17"/>
      <c r="B210" s="17"/>
      <c r="C210" s="17"/>
      <c r="D210" s="17"/>
      <c r="E210" s="17"/>
    </row>
    <row r="211" spans="1:5" x14ac:dyDescent="0.25">
      <c r="A211" s="17"/>
      <c r="B211" s="17"/>
      <c r="C211" s="17"/>
      <c r="D211" s="17"/>
      <c r="E211" s="17"/>
    </row>
    <row r="212" spans="1:5" x14ac:dyDescent="0.25">
      <c r="A212" s="17"/>
      <c r="B212" s="17"/>
      <c r="C212" s="17"/>
      <c r="D212" s="17"/>
      <c r="E212" s="17"/>
    </row>
    <row r="213" spans="1:5" x14ac:dyDescent="0.25">
      <c r="A213" s="17"/>
      <c r="B213" s="17"/>
      <c r="C213" s="17"/>
      <c r="D213" s="17"/>
      <c r="E213" s="17"/>
    </row>
    <row r="214" spans="1:5" x14ac:dyDescent="0.25">
      <c r="A214" s="17"/>
      <c r="B214" s="17"/>
      <c r="C214" s="17"/>
      <c r="D214" s="17"/>
      <c r="E214" s="17"/>
    </row>
    <row r="215" spans="1:5" x14ac:dyDescent="0.25">
      <c r="A215" s="17"/>
      <c r="B215" s="17"/>
      <c r="C215" s="17"/>
      <c r="D215" s="17"/>
      <c r="E215" s="17"/>
    </row>
    <row r="216" spans="1:5" x14ac:dyDescent="0.25">
      <c r="A216" s="17"/>
      <c r="B216" s="17"/>
      <c r="C216" s="17"/>
      <c r="D216" s="17"/>
      <c r="E216" s="17"/>
    </row>
    <row r="217" spans="1:5" x14ac:dyDescent="0.25">
      <c r="A217" s="17"/>
      <c r="B217" s="17"/>
      <c r="C217" s="17"/>
      <c r="D217" s="17"/>
      <c r="E217" s="17"/>
    </row>
    <row r="218" spans="1:5" x14ac:dyDescent="0.25">
      <c r="A218" s="17"/>
      <c r="B218" s="17"/>
      <c r="C218" s="17"/>
      <c r="D218" s="17"/>
      <c r="E218" s="17"/>
    </row>
    <row r="219" spans="1:5" x14ac:dyDescent="0.25">
      <c r="A219" s="17"/>
      <c r="B219" s="17"/>
      <c r="C219" s="17"/>
      <c r="D219" s="17"/>
      <c r="E219" s="17"/>
    </row>
    <row r="220" spans="1:5" x14ac:dyDescent="0.25">
      <c r="A220" s="17"/>
      <c r="B220" s="17"/>
      <c r="C220" s="17"/>
      <c r="D220" s="17"/>
      <c r="E220" s="17"/>
    </row>
    <row r="221" spans="1:5" x14ac:dyDescent="0.25">
      <c r="A221" s="17"/>
      <c r="B221" s="17"/>
      <c r="C221" s="17"/>
      <c r="D221" s="17"/>
      <c r="E221" s="17"/>
    </row>
    <row r="222" spans="1:5" x14ac:dyDescent="0.25">
      <c r="A222" s="17"/>
      <c r="B222" s="17"/>
      <c r="C222" s="17"/>
      <c r="D222" s="17"/>
      <c r="E222" s="17"/>
    </row>
    <row r="223" spans="1:5" x14ac:dyDescent="0.25">
      <c r="A223" s="17"/>
      <c r="B223" s="17"/>
      <c r="C223" s="17"/>
      <c r="D223" s="17"/>
      <c r="E223" s="17"/>
    </row>
    <row r="224" spans="1:5" x14ac:dyDescent="0.25">
      <c r="A224" s="17"/>
      <c r="B224" s="17"/>
      <c r="C224" s="17"/>
      <c r="D224" s="17"/>
      <c r="E224" s="17"/>
    </row>
    <row r="225" spans="1:5" x14ac:dyDescent="0.25">
      <c r="A225" s="17"/>
      <c r="B225" s="17"/>
      <c r="C225" s="17"/>
      <c r="D225" s="17"/>
      <c r="E225" s="17"/>
    </row>
    <row r="226" spans="1:5" x14ac:dyDescent="0.25">
      <c r="A226" s="17"/>
      <c r="B226" s="17"/>
      <c r="C226" s="17"/>
      <c r="D226" s="17"/>
      <c r="E226" s="17"/>
    </row>
    <row r="227" spans="1:5" x14ac:dyDescent="0.25">
      <c r="A227" s="17"/>
      <c r="B227" s="17"/>
      <c r="C227" s="17"/>
      <c r="D227" s="17"/>
      <c r="E227" s="17"/>
    </row>
    <row r="228" spans="1:5" x14ac:dyDescent="0.25">
      <c r="A228" s="17"/>
      <c r="B228" s="17"/>
      <c r="C228" s="17"/>
      <c r="D228" s="17"/>
      <c r="E228" s="17"/>
    </row>
    <row r="229" spans="1:5" x14ac:dyDescent="0.25">
      <c r="A229" s="17"/>
      <c r="B229" s="17"/>
      <c r="C229" s="17"/>
      <c r="D229" s="17"/>
      <c r="E229" s="17"/>
    </row>
    <row r="230" spans="1:5" x14ac:dyDescent="0.25">
      <c r="A230" s="17"/>
      <c r="B230" s="17"/>
      <c r="C230" s="17"/>
      <c r="D230" s="17"/>
      <c r="E230" s="17"/>
    </row>
    <row r="231" spans="1:5" x14ac:dyDescent="0.25">
      <c r="A231" s="17"/>
      <c r="B231" s="17"/>
      <c r="C231" s="17"/>
      <c r="D231" s="17"/>
      <c r="E231" s="17"/>
    </row>
    <row r="232" spans="1:5" x14ac:dyDescent="0.25">
      <c r="A232" s="17"/>
      <c r="B232" s="17"/>
      <c r="C232" s="17"/>
      <c r="D232" s="17"/>
      <c r="E232" s="17"/>
    </row>
    <row r="233" spans="1:5" x14ac:dyDescent="0.25">
      <c r="A233" s="17"/>
      <c r="B233" s="17"/>
      <c r="C233" s="17"/>
      <c r="D233" s="17"/>
      <c r="E233" s="17"/>
    </row>
    <row r="234" spans="1:5" x14ac:dyDescent="0.25">
      <c r="A234" s="17"/>
      <c r="B234" s="17"/>
      <c r="C234" s="17"/>
      <c r="D234" s="17"/>
      <c r="E234" s="17"/>
    </row>
    <row r="235" spans="1:5" x14ac:dyDescent="0.25">
      <c r="A235" s="17"/>
      <c r="B235" s="17"/>
      <c r="C235" s="17"/>
      <c r="D235" s="17"/>
      <c r="E235" s="17"/>
    </row>
    <row r="236" spans="1:5" x14ac:dyDescent="0.25">
      <c r="A236" s="17"/>
      <c r="B236" s="17"/>
      <c r="C236" s="17"/>
      <c r="D236" s="17"/>
      <c r="E236" s="17"/>
    </row>
    <row r="237" spans="1:5" x14ac:dyDescent="0.25">
      <c r="A237" s="17"/>
      <c r="B237" s="17"/>
      <c r="C237" s="17"/>
      <c r="D237" s="17"/>
      <c r="E237" s="17"/>
    </row>
    <row r="238" spans="1:5" x14ac:dyDescent="0.25">
      <c r="A238" s="17"/>
      <c r="B238" s="17"/>
      <c r="C238" s="17"/>
      <c r="D238" s="17"/>
      <c r="E238" s="17"/>
    </row>
    <row r="239" spans="1:5" x14ac:dyDescent="0.25">
      <c r="A239" s="17"/>
      <c r="B239" s="17"/>
      <c r="C239" s="17"/>
      <c r="D239" s="17"/>
      <c r="E239" s="17"/>
    </row>
    <row r="240" spans="1:5" x14ac:dyDescent="0.25">
      <c r="A240" s="17"/>
      <c r="B240" s="17"/>
      <c r="C240" s="17"/>
      <c r="D240" s="17"/>
      <c r="E240" s="17"/>
    </row>
    <row r="241" spans="1:5" x14ac:dyDescent="0.25">
      <c r="A241" s="17"/>
      <c r="B241" s="17"/>
      <c r="C241" s="17"/>
      <c r="D241" s="17"/>
      <c r="E241" s="17"/>
    </row>
    <row r="242" spans="1:5" x14ac:dyDescent="0.25">
      <c r="A242" s="17"/>
      <c r="B242" s="17"/>
      <c r="C242" s="17"/>
      <c r="D242" s="17"/>
      <c r="E242" s="17"/>
    </row>
    <row r="243" spans="1:5" x14ac:dyDescent="0.25">
      <c r="A243" s="17"/>
      <c r="B243" s="17"/>
      <c r="C243" s="17"/>
      <c r="D243" s="17"/>
      <c r="E243" s="17"/>
    </row>
    <row r="244" spans="1:5" x14ac:dyDescent="0.25">
      <c r="A244" s="17"/>
      <c r="B244" s="17"/>
      <c r="C244" s="17"/>
      <c r="D244" s="17"/>
      <c r="E244" s="17"/>
    </row>
    <row r="245" spans="1:5" x14ac:dyDescent="0.25">
      <c r="A245" s="17"/>
      <c r="B245" s="17"/>
      <c r="C245" s="17"/>
      <c r="D245" s="17"/>
      <c r="E245" s="17"/>
    </row>
    <row r="246" spans="1:5" x14ac:dyDescent="0.25">
      <c r="A246" s="17"/>
      <c r="B246" s="17"/>
      <c r="C246" s="17"/>
      <c r="D246" s="17"/>
      <c r="E246" s="17"/>
    </row>
    <row r="247" spans="1:5" x14ac:dyDescent="0.25">
      <c r="A247" s="17"/>
      <c r="B247" s="17"/>
      <c r="C247" s="17"/>
      <c r="D247" s="17"/>
      <c r="E247" s="17"/>
    </row>
    <row r="248" spans="1:5" x14ac:dyDescent="0.25">
      <c r="A248" s="17"/>
      <c r="B248" s="17"/>
      <c r="C248" s="17"/>
      <c r="D248" s="17"/>
      <c r="E248" s="17"/>
    </row>
    <row r="249" spans="1:5" x14ac:dyDescent="0.25">
      <c r="A249" s="17"/>
      <c r="B249" s="17"/>
      <c r="C249" s="17"/>
      <c r="D249" s="17"/>
      <c r="E249" s="17"/>
    </row>
    <row r="250" spans="1:5" x14ac:dyDescent="0.25">
      <c r="A250" s="17"/>
      <c r="B250" s="17"/>
      <c r="C250" s="17"/>
      <c r="D250" s="17"/>
      <c r="E250" s="17"/>
    </row>
    <row r="251" spans="1:5" x14ac:dyDescent="0.25">
      <c r="A251" s="17"/>
      <c r="B251" s="17"/>
      <c r="C251" s="17"/>
      <c r="D251" s="17"/>
      <c r="E251" s="17"/>
    </row>
    <row r="252" spans="1:5" x14ac:dyDescent="0.25">
      <c r="A252" s="17"/>
      <c r="B252" s="17"/>
      <c r="C252" s="17"/>
      <c r="D252" s="17"/>
      <c r="E252" s="17"/>
    </row>
    <row r="253" spans="1:5" x14ac:dyDescent="0.25">
      <c r="A253" s="17"/>
      <c r="B253" s="17"/>
      <c r="C253" s="17"/>
      <c r="D253" s="17"/>
      <c r="E253" s="17"/>
    </row>
    <row r="254" spans="1:5" x14ac:dyDescent="0.25">
      <c r="A254" s="17"/>
      <c r="B254" s="17"/>
      <c r="C254" s="17"/>
      <c r="D254" s="17"/>
      <c r="E254" s="17"/>
    </row>
    <row r="255" spans="1:5" x14ac:dyDescent="0.25">
      <c r="A255" s="17"/>
      <c r="B255" s="17"/>
      <c r="C255" s="17"/>
      <c r="D255" s="17"/>
      <c r="E255" s="17"/>
    </row>
    <row r="256" spans="1:5" x14ac:dyDescent="0.25">
      <c r="A256" s="17"/>
      <c r="B256" s="17"/>
      <c r="C256" s="17"/>
      <c r="D256" s="17"/>
      <c r="E256" s="17"/>
    </row>
    <row r="257" spans="1:5" x14ac:dyDescent="0.25">
      <c r="A257" s="17"/>
      <c r="B257" s="17"/>
      <c r="C257" s="17"/>
      <c r="D257" s="17"/>
      <c r="E257" s="17"/>
    </row>
    <row r="258" spans="1:5" x14ac:dyDescent="0.25">
      <c r="A258" s="17"/>
      <c r="B258" s="17"/>
      <c r="C258" s="17"/>
      <c r="D258" s="17"/>
      <c r="E258" s="17"/>
    </row>
    <row r="259" spans="1:5" x14ac:dyDescent="0.25">
      <c r="A259" s="17"/>
      <c r="B259" s="17"/>
      <c r="C259" s="17"/>
      <c r="D259" s="17"/>
      <c r="E259" s="17"/>
    </row>
    <row r="260" spans="1:5" x14ac:dyDescent="0.25">
      <c r="A260" s="17"/>
      <c r="B260" s="17"/>
      <c r="C260" s="17"/>
      <c r="D260" s="17"/>
      <c r="E260" s="17"/>
    </row>
    <row r="261" spans="1:5" x14ac:dyDescent="0.25">
      <c r="A261" s="17"/>
      <c r="B261" s="17"/>
      <c r="C261" s="17"/>
      <c r="D261" s="17"/>
      <c r="E261" s="17"/>
    </row>
    <row r="262" spans="1:5" x14ac:dyDescent="0.25">
      <c r="A262" s="17"/>
      <c r="B262" s="17"/>
      <c r="C262" s="17"/>
      <c r="D262" s="17"/>
      <c r="E262" s="17"/>
    </row>
    <row r="263" spans="1:5" x14ac:dyDescent="0.25">
      <c r="A263" s="17"/>
      <c r="B263" s="17"/>
      <c r="C263" s="17"/>
      <c r="D263" s="17"/>
      <c r="E263" s="17"/>
    </row>
    <row r="264" spans="1:5" x14ac:dyDescent="0.25">
      <c r="A264" s="17"/>
      <c r="B264" s="17"/>
      <c r="C264" s="17"/>
      <c r="D264" s="17"/>
      <c r="E264" s="17"/>
    </row>
    <row r="265" spans="1:5" x14ac:dyDescent="0.25">
      <c r="A265" s="17"/>
      <c r="B265" s="17"/>
      <c r="C265" s="17"/>
      <c r="D265" s="17"/>
      <c r="E265" s="17"/>
    </row>
    <row r="266" spans="1:5" x14ac:dyDescent="0.25">
      <c r="A266" s="17"/>
      <c r="B266" s="17"/>
      <c r="C266" s="17"/>
      <c r="D266" s="17"/>
      <c r="E266" s="17"/>
    </row>
    <row r="267" spans="1:5" x14ac:dyDescent="0.25">
      <c r="A267" s="17"/>
      <c r="B267" s="17"/>
      <c r="C267" s="17"/>
      <c r="D267" s="17"/>
      <c r="E267" s="17"/>
    </row>
    <row r="268" spans="1:5" x14ac:dyDescent="0.25">
      <c r="A268" s="17"/>
      <c r="B268" s="17"/>
      <c r="C268" s="17"/>
      <c r="D268" s="17"/>
      <c r="E268" s="17"/>
    </row>
    <row r="269" spans="1:5" x14ac:dyDescent="0.25">
      <c r="A269" s="17"/>
      <c r="B269" s="17"/>
      <c r="C269" s="17"/>
      <c r="D269" s="17"/>
      <c r="E269" s="17"/>
    </row>
    <row r="270" spans="1:5" x14ac:dyDescent="0.25">
      <c r="A270" s="17"/>
      <c r="B270" s="17"/>
      <c r="C270" s="17"/>
      <c r="D270" s="17"/>
      <c r="E270" s="17"/>
    </row>
    <row r="271" spans="1:5" x14ac:dyDescent="0.25">
      <c r="A271" s="17"/>
      <c r="B271" s="17"/>
      <c r="C271" s="17"/>
      <c r="D271" s="17"/>
      <c r="E271" s="17"/>
    </row>
    <row r="272" spans="1:5" x14ac:dyDescent="0.25">
      <c r="A272" s="17"/>
      <c r="B272" s="17"/>
      <c r="C272" s="17"/>
      <c r="D272" s="17"/>
      <c r="E272" s="17"/>
    </row>
    <row r="273" spans="1:5" x14ac:dyDescent="0.25">
      <c r="A273" s="17"/>
      <c r="B273" s="17"/>
      <c r="C273" s="17"/>
      <c r="D273" s="17"/>
      <c r="E273" s="17"/>
    </row>
    <row r="274" spans="1:5" x14ac:dyDescent="0.25">
      <c r="A274" s="17"/>
      <c r="B274" s="17"/>
      <c r="C274" s="17"/>
      <c r="D274" s="17"/>
      <c r="E274" s="17"/>
    </row>
    <row r="275" spans="1:5" x14ac:dyDescent="0.25">
      <c r="A275" s="17"/>
      <c r="B275" s="17"/>
      <c r="C275" s="17"/>
      <c r="D275" s="17"/>
      <c r="E275" s="17"/>
    </row>
    <row r="276" spans="1:5" x14ac:dyDescent="0.25">
      <c r="A276" s="17"/>
      <c r="B276" s="17"/>
      <c r="C276" s="17"/>
      <c r="D276" s="17"/>
      <c r="E276" s="17"/>
    </row>
    <row r="277" spans="1:5" x14ac:dyDescent="0.25">
      <c r="A277" s="17"/>
      <c r="B277" s="17"/>
      <c r="C277" s="17"/>
      <c r="D277" s="17"/>
      <c r="E277" s="17"/>
    </row>
    <row r="278" spans="1:5" x14ac:dyDescent="0.25">
      <c r="A278" s="17"/>
      <c r="B278" s="17"/>
      <c r="C278" s="17"/>
      <c r="D278" s="17"/>
      <c r="E278" s="17"/>
    </row>
    <row r="279" spans="1:5" x14ac:dyDescent="0.25">
      <c r="A279" s="17"/>
      <c r="B279" s="17"/>
      <c r="C279" s="17"/>
      <c r="D279" s="17"/>
      <c r="E279" s="17"/>
    </row>
    <row r="280" spans="1:5" x14ac:dyDescent="0.25">
      <c r="A280" s="17"/>
      <c r="B280" s="17"/>
      <c r="C280" s="17"/>
      <c r="D280" s="17"/>
      <c r="E280" s="17"/>
    </row>
    <row r="281" spans="1:5" x14ac:dyDescent="0.25">
      <c r="A281" s="17"/>
      <c r="B281" s="17"/>
      <c r="C281" s="17"/>
      <c r="D281" s="17"/>
      <c r="E281" s="17"/>
    </row>
    <row r="282" spans="1:5" x14ac:dyDescent="0.25">
      <c r="A282" s="17"/>
      <c r="B282" s="17"/>
      <c r="C282" s="17"/>
      <c r="D282" s="17"/>
      <c r="E282" s="17"/>
    </row>
    <row r="283" spans="1:5" x14ac:dyDescent="0.25">
      <c r="A283" s="17"/>
      <c r="B283" s="17"/>
      <c r="C283" s="17"/>
      <c r="D283" s="17"/>
      <c r="E283" s="17"/>
    </row>
    <row r="284" spans="1:5" x14ac:dyDescent="0.25">
      <c r="A284" s="17"/>
      <c r="B284" s="17"/>
      <c r="C284" s="17"/>
      <c r="D284" s="17"/>
      <c r="E284" s="17"/>
    </row>
    <row r="285" spans="1:5" x14ac:dyDescent="0.25">
      <c r="A285" s="17"/>
      <c r="B285" s="17"/>
      <c r="C285" s="17"/>
      <c r="D285" s="17"/>
      <c r="E285" s="17"/>
    </row>
    <row r="286" spans="1:5" x14ac:dyDescent="0.25">
      <c r="A286" s="17"/>
      <c r="B286" s="17"/>
      <c r="C286" s="17"/>
      <c r="D286" s="17"/>
      <c r="E286" s="17"/>
    </row>
    <row r="287" spans="1:5" x14ac:dyDescent="0.25">
      <c r="A287" s="17"/>
      <c r="B287" s="17"/>
      <c r="C287" s="17"/>
      <c r="D287" s="17"/>
      <c r="E287" s="17"/>
    </row>
    <row r="288" spans="1:5" x14ac:dyDescent="0.25">
      <c r="A288" s="17"/>
      <c r="B288" s="17"/>
      <c r="C288" s="17"/>
      <c r="D288" s="17"/>
      <c r="E288" s="17"/>
    </row>
    <row r="289" spans="1:5" x14ac:dyDescent="0.25">
      <c r="A289" s="17"/>
      <c r="B289" s="17"/>
      <c r="C289" s="17"/>
      <c r="D289" s="17"/>
      <c r="E289" s="17"/>
    </row>
    <row r="290" spans="1:5" x14ac:dyDescent="0.25">
      <c r="A290" s="17"/>
      <c r="B290" s="17"/>
      <c r="C290" s="17"/>
      <c r="D290" s="17"/>
      <c r="E290" s="17"/>
    </row>
    <row r="291" spans="1:5" x14ac:dyDescent="0.25">
      <c r="A291" s="17"/>
      <c r="B291" s="17"/>
      <c r="C291" s="17"/>
      <c r="D291" s="17"/>
      <c r="E291" s="17"/>
    </row>
    <row r="292" spans="1:5" x14ac:dyDescent="0.25">
      <c r="A292" s="17"/>
      <c r="B292" s="17"/>
      <c r="C292" s="17"/>
      <c r="D292" s="17"/>
      <c r="E292" s="17"/>
    </row>
    <row r="293" spans="1:5" x14ac:dyDescent="0.25">
      <c r="A293" s="17"/>
      <c r="B293" s="17"/>
      <c r="C293" s="17"/>
      <c r="D293" s="17"/>
      <c r="E293" s="17"/>
    </row>
    <row r="294" spans="1:5" x14ac:dyDescent="0.25">
      <c r="A294" s="17"/>
      <c r="B294" s="17"/>
      <c r="C294" s="17"/>
      <c r="D294" s="17"/>
      <c r="E294" s="17"/>
    </row>
    <row r="295" spans="1:5" x14ac:dyDescent="0.25">
      <c r="A295" s="17"/>
      <c r="B295" s="17"/>
      <c r="C295" s="17"/>
      <c r="D295" s="17"/>
      <c r="E295" s="17"/>
    </row>
    <row r="296" spans="1:5" x14ac:dyDescent="0.25">
      <c r="A296" s="17"/>
      <c r="B296" s="17"/>
      <c r="C296" s="17"/>
      <c r="D296" s="17"/>
      <c r="E296" s="17"/>
    </row>
    <row r="297" spans="1:5" x14ac:dyDescent="0.25">
      <c r="A297" s="17"/>
      <c r="B297" s="17"/>
      <c r="C297" s="17"/>
      <c r="D297" s="17"/>
      <c r="E297" s="17"/>
    </row>
    <row r="298" spans="1:5" x14ac:dyDescent="0.25">
      <c r="A298" s="17"/>
      <c r="B298" s="17"/>
      <c r="C298" s="17"/>
      <c r="D298" s="17"/>
      <c r="E298" s="17"/>
    </row>
    <row r="299" spans="1:5" x14ac:dyDescent="0.25">
      <c r="A299" s="17"/>
      <c r="B299" s="17"/>
      <c r="C299" s="17"/>
      <c r="D299" s="17"/>
      <c r="E299" s="17"/>
    </row>
    <row r="300" spans="1:5" x14ac:dyDescent="0.25">
      <c r="A300" s="17"/>
      <c r="B300" s="17"/>
      <c r="C300" s="17"/>
      <c r="D300" s="17"/>
      <c r="E300" s="17"/>
    </row>
    <row r="301" spans="1:5" x14ac:dyDescent="0.25">
      <c r="A301" s="17"/>
      <c r="B301" s="17"/>
      <c r="C301" s="17"/>
      <c r="D301" s="17"/>
      <c r="E301" s="17"/>
    </row>
    <row r="302" spans="1:5" x14ac:dyDescent="0.25">
      <c r="A302" s="17"/>
      <c r="B302" s="17"/>
      <c r="C302" s="17"/>
      <c r="D302" s="17"/>
      <c r="E302" s="17"/>
    </row>
    <row r="303" spans="1:5" x14ac:dyDescent="0.25">
      <c r="A303" s="17"/>
      <c r="B303" s="17"/>
      <c r="C303" s="17"/>
      <c r="D303" s="17"/>
      <c r="E303" s="17"/>
    </row>
    <row r="304" spans="1:5" x14ac:dyDescent="0.25">
      <c r="A304" s="17"/>
      <c r="B304" s="17"/>
      <c r="C304" s="17"/>
      <c r="D304" s="17"/>
      <c r="E304" s="17"/>
    </row>
    <row r="305" spans="1:5" x14ac:dyDescent="0.25">
      <c r="A305" s="17"/>
      <c r="B305" s="17"/>
      <c r="C305" s="17"/>
      <c r="D305" s="17"/>
      <c r="E305" s="17"/>
    </row>
    <row r="306" spans="1:5" x14ac:dyDescent="0.25">
      <c r="A306" s="17"/>
      <c r="B306" s="17"/>
      <c r="C306" s="17"/>
      <c r="D306" s="17"/>
      <c r="E306" s="17"/>
    </row>
    <row r="307" spans="1:5" x14ac:dyDescent="0.25">
      <c r="A307" s="17"/>
      <c r="B307" s="17"/>
      <c r="C307" s="17"/>
      <c r="D307" s="17"/>
      <c r="E307" s="17"/>
    </row>
    <row r="308" spans="1:5" x14ac:dyDescent="0.25">
      <c r="A308" s="17"/>
      <c r="B308" s="17"/>
      <c r="C308" s="17"/>
      <c r="D308" s="17"/>
      <c r="E308" s="17"/>
    </row>
    <row r="309" spans="1:5" x14ac:dyDescent="0.25">
      <c r="A309" s="17"/>
      <c r="B309" s="17"/>
      <c r="C309" s="17"/>
      <c r="D309" s="17"/>
      <c r="E309" s="17"/>
    </row>
    <row r="310" spans="1:5" x14ac:dyDescent="0.25">
      <c r="A310" s="17"/>
      <c r="B310" s="17"/>
      <c r="C310" s="17"/>
      <c r="D310" s="17"/>
      <c r="E310" s="17"/>
    </row>
    <row r="311" spans="1:5" x14ac:dyDescent="0.25">
      <c r="A311" s="17"/>
      <c r="B311" s="17"/>
      <c r="C311" s="17"/>
      <c r="D311" s="17"/>
      <c r="E311" s="17"/>
    </row>
    <row r="312" spans="1:5" x14ac:dyDescent="0.25">
      <c r="A312" s="17"/>
      <c r="B312" s="17"/>
      <c r="C312" s="17"/>
      <c r="D312" s="17"/>
      <c r="E312" s="17"/>
    </row>
    <row r="313" spans="1:5" x14ac:dyDescent="0.25">
      <c r="A313" s="17"/>
      <c r="B313" s="17"/>
      <c r="C313" s="17"/>
      <c r="D313" s="17"/>
      <c r="E313" s="17"/>
    </row>
    <row r="314" spans="1:5" x14ac:dyDescent="0.25">
      <c r="A314" s="17"/>
      <c r="B314" s="17"/>
      <c r="C314" s="17"/>
      <c r="D314" s="17"/>
      <c r="E314" s="17"/>
    </row>
    <row r="315" spans="1:5" x14ac:dyDescent="0.25">
      <c r="A315" s="17"/>
      <c r="B315" s="17"/>
      <c r="C315" s="17"/>
      <c r="D315" s="17"/>
      <c r="E315" s="17"/>
    </row>
    <row r="316" spans="1:5" x14ac:dyDescent="0.25">
      <c r="A316" s="17"/>
      <c r="B316" s="17"/>
      <c r="C316" s="17"/>
      <c r="D316" s="17"/>
      <c r="E316" s="17"/>
    </row>
  </sheetData>
  <dataValidations count="1">
    <dataValidation type="list" allowBlank="1" showInputMessage="1" showErrorMessage="1" sqref="D3:D316">
      <formula1>"Pass,Fail"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809"/>
  <sheetViews>
    <sheetView workbookViewId="0">
      <pane ySplit="1" topLeftCell="A212" activePane="bottomLeft" state="frozen"/>
      <selection pane="bottomLeft" activeCell="A237" sqref="A237"/>
    </sheetView>
  </sheetViews>
  <sheetFormatPr defaultRowHeight="15" x14ac:dyDescent="0.25"/>
  <cols>
    <col min="1" max="1" width="20.42578125" bestFit="1" customWidth="1"/>
    <col min="2" max="2" width="8.42578125" bestFit="1" customWidth="1"/>
    <col min="3" max="3" width="8.85546875" bestFit="1" customWidth="1"/>
    <col min="4" max="4" width="9" bestFit="1" customWidth="1"/>
    <col min="5" max="5" width="14.85546875" style="2" bestFit="1" customWidth="1"/>
    <col min="6" max="6" width="45.28515625" bestFit="1" customWidth="1"/>
    <col min="7" max="7" width="8.85546875" bestFit="1" customWidth="1"/>
    <col min="8" max="8" width="11.28515625" bestFit="1" customWidth="1"/>
    <col min="15" max="15" width="13.140625" bestFit="1" customWidth="1"/>
    <col min="16" max="16" width="19.5703125" bestFit="1" customWidth="1"/>
  </cols>
  <sheetData>
    <row r="1" spans="1:17" s="4" customFormat="1" ht="45" x14ac:dyDescent="0.25">
      <c r="A1" s="54" t="s">
        <v>137</v>
      </c>
      <c r="B1" s="55" t="s">
        <v>138</v>
      </c>
      <c r="C1" s="55" t="s">
        <v>139</v>
      </c>
      <c r="D1" s="55" t="s">
        <v>140</v>
      </c>
      <c r="E1" s="59" t="s">
        <v>141</v>
      </c>
      <c r="F1" s="54" t="s">
        <v>142</v>
      </c>
      <c r="G1" s="55" t="s">
        <v>143</v>
      </c>
      <c r="H1" s="54" t="s">
        <v>113</v>
      </c>
      <c r="N1"/>
      <c r="O1" s="56" t="s">
        <v>485</v>
      </c>
      <c r="P1" t="s">
        <v>487</v>
      </c>
      <c r="Q1"/>
    </row>
    <row r="2" spans="1:17" s="4" customFormat="1" x14ac:dyDescent="0.25">
      <c r="A2" s="4" t="s">
        <v>144</v>
      </c>
      <c r="B2" s="4" t="s">
        <v>145</v>
      </c>
      <c r="C2" s="4" t="s">
        <v>146</v>
      </c>
      <c r="D2" s="4" t="s">
        <v>147</v>
      </c>
      <c r="E2" s="60">
        <v>42352</v>
      </c>
      <c r="F2" s="4" t="s">
        <v>148</v>
      </c>
      <c r="G2" s="4" t="s">
        <v>149</v>
      </c>
      <c r="H2" s="4" t="s">
        <v>150</v>
      </c>
      <c r="N2"/>
      <c r="O2" s="57" t="s">
        <v>144</v>
      </c>
      <c r="P2" s="58">
        <v>1</v>
      </c>
      <c r="Q2"/>
    </row>
    <row r="3" spans="1:17" s="4" customFormat="1" x14ac:dyDescent="0.25">
      <c r="A3" s="4" t="s">
        <v>151</v>
      </c>
      <c r="B3" s="4" t="s">
        <v>145</v>
      </c>
      <c r="C3" s="4" t="s">
        <v>146</v>
      </c>
      <c r="D3" s="4" t="s">
        <v>152</v>
      </c>
      <c r="E3" s="60">
        <v>42352</v>
      </c>
      <c r="F3" s="4" t="s">
        <v>153</v>
      </c>
      <c r="G3" s="4" t="s">
        <v>150</v>
      </c>
      <c r="H3" s="4" t="s">
        <v>150</v>
      </c>
      <c r="N3"/>
      <c r="O3" s="57" t="s">
        <v>151</v>
      </c>
      <c r="P3" s="58">
        <v>1</v>
      </c>
      <c r="Q3"/>
    </row>
    <row r="4" spans="1:17" s="4" customFormat="1" x14ac:dyDescent="0.25">
      <c r="A4" s="4" t="s">
        <v>154</v>
      </c>
      <c r="B4" s="4" t="s">
        <v>145</v>
      </c>
      <c r="C4" s="4" t="s">
        <v>146</v>
      </c>
      <c r="D4" s="4" t="s">
        <v>155</v>
      </c>
      <c r="E4" s="60">
        <v>42352</v>
      </c>
      <c r="F4" s="4" t="s">
        <v>156</v>
      </c>
      <c r="G4" s="4" t="s">
        <v>150</v>
      </c>
      <c r="H4" s="4" t="s">
        <v>150</v>
      </c>
      <c r="N4"/>
      <c r="O4" s="57" t="s">
        <v>154</v>
      </c>
      <c r="P4" s="58">
        <v>1</v>
      </c>
      <c r="Q4"/>
    </row>
    <row r="5" spans="1:17" s="4" customFormat="1" x14ac:dyDescent="0.25">
      <c r="A5" s="4" t="s">
        <v>119</v>
      </c>
      <c r="B5" s="4" t="s">
        <v>145</v>
      </c>
      <c r="C5" s="4" t="s">
        <v>146</v>
      </c>
      <c r="D5" s="4" t="s">
        <v>147</v>
      </c>
      <c r="E5" s="60">
        <v>42352</v>
      </c>
      <c r="F5" s="4" t="s">
        <v>157</v>
      </c>
      <c r="G5" s="4" t="s">
        <v>149</v>
      </c>
      <c r="H5" s="4" t="s">
        <v>120</v>
      </c>
      <c r="N5"/>
      <c r="O5" s="57" t="s">
        <v>119</v>
      </c>
      <c r="P5" s="58">
        <v>1</v>
      </c>
      <c r="Q5"/>
    </row>
    <row r="6" spans="1:17" s="4" customFormat="1" x14ac:dyDescent="0.25">
      <c r="A6" s="4" t="s">
        <v>158</v>
      </c>
      <c r="B6" s="4" t="s">
        <v>145</v>
      </c>
      <c r="C6" s="4" t="s">
        <v>146</v>
      </c>
      <c r="D6" s="4" t="s">
        <v>155</v>
      </c>
      <c r="E6" s="60">
        <v>42352</v>
      </c>
      <c r="F6" s="4" t="s">
        <v>159</v>
      </c>
      <c r="G6" s="4" t="s">
        <v>150</v>
      </c>
      <c r="H6" s="4" t="s">
        <v>150</v>
      </c>
      <c r="N6"/>
      <c r="O6" s="57" t="s">
        <v>158</v>
      </c>
      <c r="P6" s="58">
        <v>1</v>
      </c>
      <c r="Q6"/>
    </row>
    <row r="7" spans="1:17" s="4" customFormat="1" x14ac:dyDescent="0.25">
      <c r="A7" s="4" t="s">
        <v>160</v>
      </c>
      <c r="B7" s="4" t="s">
        <v>145</v>
      </c>
      <c r="C7" s="4" t="s">
        <v>146</v>
      </c>
      <c r="D7" s="4" t="s">
        <v>147</v>
      </c>
      <c r="E7" s="60">
        <v>42352</v>
      </c>
      <c r="F7" s="4" t="s">
        <v>161</v>
      </c>
      <c r="G7" s="4" t="s">
        <v>149</v>
      </c>
      <c r="H7" s="4" t="s">
        <v>150</v>
      </c>
      <c r="N7"/>
      <c r="O7" s="57" t="s">
        <v>160</v>
      </c>
      <c r="P7" s="58">
        <v>1</v>
      </c>
      <c r="Q7"/>
    </row>
    <row r="8" spans="1:17" s="4" customFormat="1" x14ac:dyDescent="0.25">
      <c r="A8" s="4" t="s">
        <v>162</v>
      </c>
      <c r="B8" s="4" t="s">
        <v>145</v>
      </c>
      <c r="C8" s="4" t="s">
        <v>146</v>
      </c>
      <c r="D8" s="4" t="s">
        <v>155</v>
      </c>
      <c r="E8" s="60">
        <v>42352</v>
      </c>
      <c r="F8" s="4" t="s">
        <v>163</v>
      </c>
      <c r="G8" s="4" t="s">
        <v>150</v>
      </c>
      <c r="H8" s="4" t="s">
        <v>133</v>
      </c>
      <c r="N8"/>
      <c r="O8" s="57" t="s">
        <v>162</v>
      </c>
      <c r="P8" s="58">
        <v>1</v>
      </c>
      <c r="Q8"/>
    </row>
    <row r="9" spans="1:17" s="4" customFormat="1" x14ac:dyDescent="0.25">
      <c r="A9" s="4" t="s">
        <v>164</v>
      </c>
      <c r="B9" s="4" t="s">
        <v>145</v>
      </c>
      <c r="C9" s="4" t="s">
        <v>146</v>
      </c>
      <c r="D9" s="4" t="s">
        <v>152</v>
      </c>
      <c r="E9" s="60">
        <v>42352</v>
      </c>
      <c r="F9" s="4" t="s">
        <v>153</v>
      </c>
      <c r="G9" s="4" t="s">
        <v>150</v>
      </c>
      <c r="H9" s="4" t="s">
        <v>150</v>
      </c>
      <c r="N9"/>
      <c r="O9" s="57" t="s">
        <v>164</v>
      </c>
      <c r="P9" s="58">
        <v>1</v>
      </c>
      <c r="Q9"/>
    </row>
    <row r="10" spans="1:17" s="4" customFormat="1" x14ac:dyDescent="0.25">
      <c r="A10" s="4" t="s">
        <v>165</v>
      </c>
      <c r="B10" s="4" t="s">
        <v>145</v>
      </c>
      <c r="C10" s="4" t="s">
        <v>146</v>
      </c>
      <c r="D10" s="4" t="s">
        <v>155</v>
      </c>
      <c r="E10" s="60">
        <v>42352</v>
      </c>
      <c r="F10" s="61" t="s">
        <v>156</v>
      </c>
      <c r="G10" s="4" t="s">
        <v>150</v>
      </c>
      <c r="H10" s="4" t="s">
        <v>128</v>
      </c>
      <c r="N10"/>
      <c r="O10" s="57" t="s">
        <v>165</v>
      </c>
      <c r="P10" s="58">
        <v>1</v>
      </c>
      <c r="Q10"/>
    </row>
    <row r="11" spans="1:17" s="4" customFormat="1" x14ac:dyDescent="0.25">
      <c r="A11" s="4" t="s">
        <v>166</v>
      </c>
      <c r="B11" s="4" t="s">
        <v>145</v>
      </c>
      <c r="C11" s="4" t="s">
        <v>146</v>
      </c>
      <c r="D11" s="4" t="s">
        <v>152</v>
      </c>
      <c r="E11" s="60">
        <v>42352</v>
      </c>
      <c r="F11" s="4" t="s">
        <v>153</v>
      </c>
      <c r="G11" s="4" t="s">
        <v>150</v>
      </c>
      <c r="H11" s="4" t="s">
        <v>150</v>
      </c>
      <c r="N11"/>
      <c r="O11" s="57" t="s">
        <v>166</v>
      </c>
      <c r="P11" s="58">
        <v>1</v>
      </c>
      <c r="Q11"/>
    </row>
    <row r="12" spans="1:17" s="4" customFormat="1" x14ac:dyDescent="0.25">
      <c r="A12" s="4" t="s">
        <v>167</v>
      </c>
      <c r="B12" s="4" t="s">
        <v>145</v>
      </c>
      <c r="C12" s="4" t="s">
        <v>146</v>
      </c>
      <c r="D12" s="4" t="s">
        <v>155</v>
      </c>
      <c r="E12" s="60">
        <v>42352</v>
      </c>
      <c r="F12" s="4" t="s">
        <v>156</v>
      </c>
      <c r="G12" s="4" t="s">
        <v>150</v>
      </c>
      <c r="H12" s="4" t="s">
        <v>125</v>
      </c>
      <c r="N12"/>
      <c r="O12" s="57" t="s">
        <v>167</v>
      </c>
      <c r="P12" s="58">
        <v>1</v>
      </c>
      <c r="Q12"/>
    </row>
    <row r="13" spans="1:17" s="4" customFormat="1" x14ac:dyDescent="0.25">
      <c r="A13" s="4" t="s">
        <v>168</v>
      </c>
      <c r="B13" s="4" t="s">
        <v>145</v>
      </c>
      <c r="C13" s="4" t="s">
        <v>146</v>
      </c>
      <c r="D13" s="4" t="s">
        <v>147</v>
      </c>
      <c r="E13" s="60">
        <v>42352</v>
      </c>
      <c r="F13" s="4" t="s">
        <v>169</v>
      </c>
      <c r="G13" s="4" t="s">
        <v>149</v>
      </c>
      <c r="H13" s="4" t="s">
        <v>132</v>
      </c>
      <c r="N13"/>
      <c r="O13" s="57" t="s">
        <v>168</v>
      </c>
      <c r="P13" s="58">
        <v>1</v>
      </c>
      <c r="Q13"/>
    </row>
    <row r="14" spans="1:17" s="4" customFormat="1" x14ac:dyDescent="0.25">
      <c r="A14" s="4" t="s">
        <v>170</v>
      </c>
      <c r="B14" s="4" t="s">
        <v>145</v>
      </c>
      <c r="C14" s="4" t="s">
        <v>146</v>
      </c>
      <c r="D14" s="4" t="s">
        <v>155</v>
      </c>
      <c r="E14" s="60">
        <v>42352</v>
      </c>
      <c r="F14" s="4" t="s">
        <v>159</v>
      </c>
      <c r="G14" s="4" t="s">
        <v>150</v>
      </c>
      <c r="H14" s="4" t="s">
        <v>150</v>
      </c>
      <c r="N14"/>
      <c r="O14" s="57" t="s">
        <v>170</v>
      </c>
      <c r="P14" s="58">
        <v>1</v>
      </c>
      <c r="Q14"/>
    </row>
    <row r="15" spans="1:17" s="4" customFormat="1" x14ac:dyDescent="0.25">
      <c r="A15" s="4" t="s">
        <v>171</v>
      </c>
      <c r="B15" s="4" t="s">
        <v>145</v>
      </c>
      <c r="C15" s="4" t="s">
        <v>146</v>
      </c>
      <c r="D15" s="4" t="s">
        <v>155</v>
      </c>
      <c r="E15" s="60">
        <v>42352</v>
      </c>
      <c r="F15" s="4" t="s">
        <v>172</v>
      </c>
      <c r="G15" s="4" t="s">
        <v>150</v>
      </c>
      <c r="H15" s="4" t="s">
        <v>150</v>
      </c>
      <c r="N15"/>
      <c r="O15" s="57" t="s">
        <v>171</v>
      </c>
      <c r="P15" s="58">
        <v>1</v>
      </c>
      <c r="Q15"/>
    </row>
    <row r="16" spans="1:17" s="4" customFormat="1" x14ac:dyDescent="0.25">
      <c r="A16" s="4" t="s">
        <v>173</v>
      </c>
      <c r="B16" s="4" t="s">
        <v>145</v>
      </c>
      <c r="C16" s="4" t="s">
        <v>146</v>
      </c>
      <c r="D16" s="4" t="s">
        <v>152</v>
      </c>
      <c r="E16" s="60">
        <v>42352</v>
      </c>
      <c r="F16" s="4" t="s">
        <v>153</v>
      </c>
      <c r="G16" s="4" t="s">
        <v>150</v>
      </c>
      <c r="H16" s="4" t="s">
        <v>150</v>
      </c>
      <c r="N16"/>
      <c r="O16" s="57" t="s">
        <v>173</v>
      </c>
      <c r="P16" s="58">
        <v>1</v>
      </c>
      <c r="Q16"/>
    </row>
    <row r="17" spans="1:17" s="4" customFormat="1" x14ac:dyDescent="0.25">
      <c r="A17" s="4" t="s">
        <v>174</v>
      </c>
      <c r="B17" s="4" t="s">
        <v>145</v>
      </c>
      <c r="C17" s="4" t="s">
        <v>146</v>
      </c>
      <c r="D17" s="4" t="s">
        <v>175</v>
      </c>
      <c r="E17" s="60">
        <v>42352</v>
      </c>
      <c r="F17" s="4" t="s">
        <v>176</v>
      </c>
      <c r="G17" s="4" t="s">
        <v>150</v>
      </c>
      <c r="H17" s="4" t="s">
        <v>150</v>
      </c>
      <c r="N17"/>
      <c r="O17" s="57" t="s">
        <v>174</v>
      </c>
      <c r="P17" s="58">
        <v>1</v>
      </c>
      <c r="Q17"/>
    </row>
    <row r="18" spans="1:17" s="4" customFormat="1" x14ac:dyDescent="0.25">
      <c r="A18" s="4" t="s">
        <v>177</v>
      </c>
      <c r="B18" s="4" t="s">
        <v>145</v>
      </c>
      <c r="C18" s="4" t="s">
        <v>146</v>
      </c>
      <c r="D18" s="4" t="s">
        <v>152</v>
      </c>
      <c r="E18" s="60">
        <v>42352</v>
      </c>
      <c r="F18" s="4" t="s">
        <v>153</v>
      </c>
      <c r="G18" s="4" t="s">
        <v>150</v>
      </c>
      <c r="H18" s="4" t="s">
        <v>150</v>
      </c>
      <c r="N18"/>
      <c r="O18" s="57" t="s">
        <v>177</v>
      </c>
      <c r="P18" s="58">
        <v>1</v>
      </c>
      <c r="Q18"/>
    </row>
    <row r="19" spans="1:17" s="4" customFormat="1" x14ac:dyDescent="0.25">
      <c r="A19" s="4" t="s">
        <v>178</v>
      </c>
      <c r="B19" s="4" t="s">
        <v>145</v>
      </c>
      <c r="C19" s="4" t="s">
        <v>146</v>
      </c>
      <c r="D19" s="4" t="s">
        <v>155</v>
      </c>
      <c r="E19" s="60">
        <v>42352</v>
      </c>
      <c r="F19" s="4" t="s">
        <v>159</v>
      </c>
      <c r="G19" s="4" t="s">
        <v>150</v>
      </c>
      <c r="H19" s="4" t="s">
        <v>150</v>
      </c>
      <c r="O19" s="57" t="s">
        <v>178</v>
      </c>
      <c r="P19" s="58">
        <v>1</v>
      </c>
    </row>
    <row r="20" spans="1:17" s="4" customFormat="1" x14ac:dyDescent="0.25">
      <c r="A20" s="4" t="s">
        <v>179</v>
      </c>
      <c r="B20" s="4" t="s">
        <v>145</v>
      </c>
      <c r="C20" s="4" t="s">
        <v>146</v>
      </c>
      <c r="D20" s="4" t="s">
        <v>147</v>
      </c>
      <c r="E20" s="60">
        <v>42352</v>
      </c>
      <c r="F20" s="4" t="s">
        <v>180</v>
      </c>
      <c r="G20" s="4" t="s">
        <v>149</v>
      </c>
      <c r="H20" s="4" t="s">
        <v>181</v>
      </c>
      <c r="O20" s="57" t="s">
        <v>179</v>
      </c>
      <c r="P20" s="58">
        <v>1</v>
      </c>
    </row>
    <row r="21" spans="1:17" s="4" customFormat="1" x14ac:dyDescent="0.25">
      <c r="A21" s="4" t="s">
        <v>182</v>
      </c>
      <c r="B21" s="4" t="s">
        <v>145</v>
      </c>
      <c r="C21" s="4" t="s">
        <v>146</v>
      </c>
      <c r="D21" s="4" t="s">
        <v>155</v>
      </c>
      <c r="E21" s="60">
        <v>42352</v>
      </c>
      <c r="F21" s="4" t="s">
        <v>183</v>
      </c>
      <c r="G21" s="4" t="s">
        <v>150</v>
      </c>
      <c r="H21" s="4" t="s">
        <v>150</v>
      </c>
      <c r="O21" s="57" t="s">
        <v>182</v>
      </c>
      <c r="P21" s="58">
        <v>1</v>
      </c>
    </row>
    <row r="22" spans="1:17" s="4" customFormat="1" x14ac:dyDescent="0.25">
      <c r="A22" s="4" t="s">
        <v>184</v>
      </c>
      <c r="B22" s="4" t="s">
        <v>145</v>
      </c>
      <c r="C22" s="4" t="s">
        <v>146</v>
      </c>
      <c r="D22" s="4" t="s">
        <v>147</v>
      </c>
      <c r="E22" s="60">
        <v>42352</v>
      </c>
      <c r="F22" s="4" t="s">
        <v>185</v>
      </c>
      <c r="G22" s="4" t="s">
        <v>149</v>
      </c>
      <c r="H22" s="4" t="s">
        <v>150</v>
      </c>
      <c r="O22" s="57" t="s">
        <v>184</v>
      </c>
      <c r="P22" s="58">
        <v>1</v>
      </c>
    </row>
    <row r="23" spans="1:17" s="4" customFormat="1" x14ac:dyDescent="0.25">
      <c r="A23" s="4" t="s">
        <v>186</v>
      </c>
      <c r="B23" s="4" t="s">
        <v>145</v>
      </c>
      <c r="C23" s="4" t="s">
        <v>146</v>
      </c>
      <c r="D23" s="4" t="s">
        <v>155</v>
      </c>
      <c r="E23" s="60">
        <v>42352</v>
      </c>
      <c r="F23" s="4" t="s">
        <v>187</v>
      </c>
      <c r="G23" s="4" t="s">
        <v>150</v>
      </c>
      <c r="H23" s="4" t="s">
        <v>150</v>
      </c>
      <c r="O23" s="57" t="s">
        <v>186</v>
      </c>
      <c r="P23" s="58">
        <v>1</v>
      </c>
    </row>
    <row r="24" spans="1:17" s="4" customFormat="1" x14ac:dyDescent="0.25">
      <c r="A24" s="4" t="s">
        <v>188</v>
      </c>
      <c r="B24" s="4" t="s">
        <v>145</v>
      </c>
      <c r="C24" s="4" t="s">
        <v>146</v>
      </c>
      <c r="D24" s="4" t="s">
        <v>155</v>
      </c>
      <c r="E24" s="60">
        <v>42352</v>
      </c>
      <c r="F24" s="4" t="s">
        <v>189</v>
      </c>
      <c r="G24" s="4" t="s">
        <v>150</v>
      </c>
      <c r="H24" s="4" t="s">
        <v>135</v>
      </c>
      <c r="O24" s="57" t="s">
        <v>188</v>
      </c>
      <c r="P24" s="58">
        <v>1</v>
      </c>
    </row>
    <row r="25" spans="1:17" s="4" customFormat="1" x14ac:dyDescent="0.25">
      <c r="A25" s="4" t="s">
        <v>190</v>
      </c>
      <c r="B25" s="4" t="s">
        <v>145</v>
      </c>
      <c r="C25" s="4" t="s">
        <v>146</v>
      </c>
      <c r="D25" s="4" t="s">
        <v>155</v>
      </c>
      <c r="E25" s="60">
        <v>42352</v>
      </c>
      <c r="F25" s="4" t="s">
        <v>191</v>
      </c>
      <c r="G25" s="4" t="s">
        <v>150</v>
      </c>
      <c r="H25" s="4" t="s">
        <v>150</v>
      </c>
      <c r="O25" s="57" t="s">
        <v>190</v>
      </c>
      <c r="P25" s="58">
        <v>1</v>
      </c>
    </row>
    <row r="26" spans="1:17" s="4" customFormat="1" x14ac:dyDescent="0.25">
      <c r="A26" s="4" t="s">
        <v>192</v>
      </c>
      <c r="B26" s="4" t="s">
        <v>145</v>
      </c>
      <c r="C26" s="4" t="s">
        <v>146</v>
      </c>
      <c r="D26" s="4" t="s">
        <v>152</v>
      </c>
      <c r="E26" s="60">
        <v>42352</v>
      </c>
      <c r="F26" s="4" t="s">
        <v>153</v>
      </c>
      <c r="G26" s="4" t="s">
        <v>150</v>
      </c>
      <c r="H26" s="4" t="s">
        <v>150</v>
      </c>
      <c r="O26" s="57" t="s">
        <v>192</v>
      </c>
      <c r="P26" s="58">
        <v>1</v>
      </c>
    </row>
    <row r="27" spans="1:17" s="4" customFormat="1" x14ac:dyDescent="0.25">
      <c r="A27" s="4" t="s">
        <v>193</v>
      </c>
      <c r="B27" s="4" t="s">
        <v>145</v>
      </c>
      <c r="C27" s="4" t="s">
        <v>146</v>
      </c>
      <c r="D27" s="4" t="s">
        <v>152</v>
      </c>
      <c r="E27" s="60">
        <v>42352</v>
      </c>
      <c r="F27" s="4" t="s">
        <v>153</v>
      </c>
      <c r="G27" s="4" t="s">
        <v>150</v>
      </c>
      <c r="H27" s="4" t="s">
        <v>150</v>
      </c>
      <c r="O27" s="57" t="s">
        <v>193</v>
      </c>
      <c r="P27" s="58">
        <v>1</v>
      </c>
    </row>
    <row r="28" spans="1:17" s="4" customFormat="1" x14ac:dyDescent="0.25">
      <c r="A28" s="4" t="s">
        <v>194</v>
      </c>
      <c r="B28" s="4" t="s">
        <v>145</v>
      </c>
      <c r="C28" s="4" t="s">
        <v>146</v>
      </c>
      <c r="D28" s="4" t="s">
        <v>152</v>
      </c>
      <c r="E28" s="60">
        <v>42352</v>
      </c>
      <c r="F28" s="4" t="s">
        <v>153</v>
      </c>
      <c r="G28" s="4" t="s">
        <v>150</v>
      </c>
      <c r="H28" s="4" t="s">
        <v>150</v>
      </c>
      <c r="O28" s="57" t="s">
        <v>194</v>
      </c>
      <c r="P28" s="58">
        <v>1</v>
      </c>
    </row>
    <row r="29" spans="1:17" s="4" customFormat="1" x14ac:dyDescent="0.25">
      <c r="A29" s="4" t="s">
        <v>195</v>
      </c>
      <c r="B29" s="4" t="s">
        <v>145</v>
      </c>
      <c r="C29" s="4" t="s">
        <v>146</v>
      </c>
      <c r="D29" s="4" t="s">
        <v>152</v>
      </c>
      <c r="E29" s="60">
        <v>42352</v>
      </c>
      <c r="F29" s="4" t="s">
        <v>153</v>
      </c>
      <c r="G29" s="4" t="s">
        <v>150</v>
      </c>
      <c r="H29" s="4" t="s">
        <v>150</v>
      </c>
      <c r="O29" s="57" t="s">
        <v>195</v>
      </c>
      <c r="P29" s="58">
        <v>1</v>
      </c>
    </row>
    <row r="30" spans="1:17" s="4" customFormat="1" x14ac:dyDescent="0.25">
      <c r="A30" s="4" t="s">
        <v>196</v>
      </c>
      <c r="B30" s="4" t="s">
        <v>145</v>
      </c>
      <c r="C30" s="4" t="s">
        <v>146</v>
      </c>
      <c r="D30" s="4" t="s">
        <v>152</v>
      </c>
      <c r="E30" s="60">
        <v>42352</v>
      </c>
      <c r="F30" s="4" t="s">
        <v>153</v>
      </c>
      <c r="G30" s="4" t="s">
        <v>150</v>
      </c>
      <c r="H30" s="4" t="s">
        <v>150</v>
      </c>
      <c r="O30" s="57" t="s">
        <v>196</v>
      </c>
      <c r="P30" s="58">
        <v>1</v>
      </c>
    </row>
    <row r="31" spans="1:17" s="4" customFormat="1" x14ac:dyDescent="0.25">
      <c r="A31" s="4" t="s">
        <v>197</v>
      </c>
      <c r="B31" s="4" t="s">
        <v>145</v>
      </c>
      <c r="C31" s="4" t="s">
        <v>146</v>
      </c>
      <c r="D31" s="4" t="s">
        <v>152</v>
      </c>
      <c r="E31" s="60">
        <v>42352</v>
      </c>
      <c r="F31" s="4" t="s">
        <v>153</v>
      </c>
      <c r="G31" s="4" t="s">
        <v>150</v>
      </c>
      <c r="H31" s="4" t="s">
        <v>150</v>
      </c>
      <c r="O31" s="57" t="s">
        <v>197</v>
      </c>
      <c r="P31" s="58">
        <v>1</v>
      </c>
    </row>
    <row r="32" spans="1:17" s="4" customFormat="1" x14ac:dyDescent="0.25">
      <c r="A32" s="4" t="s">
        <v>198</v>
      </c>
      <c r="B32" s="4" t="s">
        <v>145</v>
      </c>
      <c r="C32" s="4" t="s">
        <v>146</v>
      </c>
      <c r="D32" s="4" t="s">
        <v>155</v>
      </c>
      <c r="E32" s="60">
        <v>42352</v>
      </c>
      <c r="F32" s="4" t="s">
        <v>199</v>
      </c>
      <c r="G32" s="4" t="s">
        <v>150</v>
      </c>
      <c r="H32" s="4" t="s">
        <v>114</v>
      </c>
      <c r="O32" s="57" t="s">
        <v>198</v>
      </c>
      <c r="P32" s="58">
        <v>1</v>
      </c>
    </row>
    <row r="33" spans="1:16" s="4" customFormat="1" x14ac:dyDescent="0.25">
      <c r="A33" s="4" t="s">
        <v>200</v>
      </c>
      <c r="B33" s="4" t="s">
        <v>145</v>
      </c>
      <c r="C33" s="4" t="s">
        <v>146</v>
      </c>
      <c r="D33" s="4" t="s">
        <v>155</v>
      </c>
      <c r="E33" s="60">
        <v>42352</v>
      </c>
      <c r="F33" s="4" t="s">
        <v>172</v>
      </c>
      <c r="G33" s="4" t="s">
        <v>150</v>
      </c>
      <c r="H33" s="4" t="s">
        <v>150</v>
      </c>
      <c r="O33" s="57" t="s">
        <v>200</v>
      </c>
      <c r="P33" s="58">
        <v>1</v>
      </c>
    </row>
    <row r="34" spans="1:16" s="4" customFormat="1" x14ac:dyDescent="0.25">
      <c r="A34" s="4" t="s">
        <v>201</v>
      </c>
      <c r="B34" s="4" t="s">
        <v>145</v>
      </c>
      <c r="C34" s="4" t="s">
        <v>146</v>
      </c>
      <c r="D34" s="4" t="s">
        <v>152</v>
      </c>
      <c r="E34" s="60">
        <v>42352</v>
      </c>
      <c r="F34" s="4" t="s">
        <v>153</v>
      </c>
      <c r="G34" s="4" t="s">
        <v>150</v>
      </c>
      <c r="H34" s="4" t="s">
        <v>150</v>
      </c>
      <c r="O34" s="57" t="s">
        <v>201</v>
      </c>
      <c r="P34" s="58">
        <v>1</v>
      </c>
    </row>
    <row r="35" spans="1:16" s="4" customFormat="1" x14ac:dyDescent="0.25">
      <c r="A35" s="4" t="s">
        <v>202</v>
      </c>
      <c r="B35" s="4" t="s">
        <v>145</v>
      </c>
      <c r="C35" s="4" t="s">
        <v>146</v>
      </c>
      <c r="D35" s="4" t="s">
        <v>152</v>
      </c>
      <c r="E35" s="60">
        <v>42352</v>
      </c>
      <c r="F35" s="4" t="s">
        <v>153</v>
      </c>
      <c r="G35" s="4" t="s">
        <v>150</v>
      </c>
      <c r="H35" s="4" t="s">
        <v>150</v>
      </c>
      <c r="O35" s="57" t="s">
        <v>202</v>
      </c>
      <c r="P35" s="58">
        <v>1</v>
      </c>
    </row>
    <row r="36" spans="1:16" s="4" customFormat="1" x14ac:dyDescent="0.25">
      <c r="A36" s="4" t="s">
        <v>203</v>
      </c>
      <c r="B36" s="4" t="s">
        <v>145</v>
      </c>
      <c r="C36" s="4" t="s">
        <v>146</v>
      </c>
      <c r="D36" s="4" t="s">
        <v>147</v>
      </c>
      <c r="E36" s="60">
        <v>42352</v>
      </c>
      <c r="F36" s="4" t="s">
        <v>204</v>
      </c>
      <c r="G36" s="4" t="s">
        <v>149</v>
      </c>
      <c r="H36" s="4" t="s">
        <v>150</v>
      </c>
      <c r="O36" s="57" t="s">
        <v>203</v>
      </c>
      <c r="P36" s="58">
        <v>1</v>
      </c>
    </row>
    <row r="37" spans="1:16" s="4" customFormat="1" x14ac:dyDescent="0.25">
      <c r="A37" s="4" t="s">
        <v>205</v>
      </c>
      <c r="B37" s="4" t="s">
        <v>145</v>
      </c>
      <c r="C37" s="4" t="s">
        <v>146</v>
      </c>
      <c r="D37" s="4" t="s">
        <v>152</v>
      </c>
      <c r="E37" s="60">
        <v>42352</v>
      </c>
      <c r="F37" s="4" t="s">
        <v>153</v>
      </c>
      <c r="G37" s="4" t="s">
        <v>150</v>
      </c>
      <c r="H37" s="4" t="s">
        <v>150</v>
      </c>
      <c r="O37" s="57" t="s">
        <v>205</v>
      </c>
      <c r="P37" s="58">
        <v>1</v>
      </c>
    </row>
    <row r="38" spans="1:16" s="4" customFormat="1" x14ac:dyDescent="0.25">
      <c r="A38" s="4" t="s">
        <v>206</v>
      </c>
      <c r="B38" s="4" t="s">
        <v>145</v>
      </c>
      <c r="C38" s="4" t="s">
        <v>146</v>
      </c>
      <c r="D38" s="4" t="s">
        <v>152</v>
      </c>
      <c r="E38" s="60">
        <v>42352</v>
      </c>
      <c r="F38" s="4" t="s">
        <v>153</v>
      </c>
      <c r="G38" s="4" t="s">
        <v>150</v>
      </c>
      <c r="H38" s="4" t="s">
        <v>150</v>
      </c>
      <c r="O38" s="57" t="s">
        <v>206</v>
      </c>
      <c r="P38" s="58">
        <v>1</v>
      </c>
    </row>
    <row r="39" spans="1:16" s="4" customFormat="1" x14ac:dyDescent="0.25">
      <c r="A39" s="4" t="s">
        <v>207</v>
      </c>
      <c r="B39" s="4" t="s">
        <v>145</v>
      </c>
      <c r="C39" s="4" t="s">
        <v>146</v>
      </c>
      <c r="D39" s="4" t="s">
        <v>152</v>
      </c>
      <c r="E39" s="60">
        <v>42353</v>
      </c>
      <c r="F39" s="4" t="s">
        <v>153</v>
      </c>
      <c r="G39" s="4" t="s">
        <v>150</v>
      </c>
      <c r="H39" s="4" t="s">
        <v>150</v>
      </c>
      <c r="O39" s="57" t="s">
        <v>207</v>
      </c>
      <c r="P39" s="58">
        <v>1</v>
      </c>
    </row>
    <row r="40" spans="1:16" s="4" customFormat="1" x14ac:dyDescent="0.25">
      <c r="A40" s="4" t="s">
        <v>208</v>
      </c>
      <c r="B40" s="4" t="s">
        <v>145</v>
      </c>
      <c r="C40" s="4" t="s">
        <v>146</v>
      </c>
      <c r="D40" s="4" t="s">
        <v>152</v>
      </c>
      <c r="E40" s="60">
        <v>42353</v>
      </c>
      <c r="F40" s="4" t="s">
        <v>153</v>
      </c>
      <c r="G40" s="4" t="s">
        <v>150</v>
      </c>
      <c r="H40" s="4" t="s">
        <v>150</v>
      </c>
      <c r="O40" s="57" t="s">
        <v>208</v>
      </c>
      <c r="P40" s="58">
        <v>1</v>
      </c>
    </row>
    <row r="41" spans="1:16" s="4" customFormat="1" x14ac:dyDescent="0.25">
      <c r="A41" s="4" t="s">
        <v>209</v>
      </c>
      <c r="B41" s="4" t="s">
        <v>145</v>
      </c>
      <c r="C41" s="4" t="s">
        <v>146</v>
      </c>
      <c r="D41" s="4" t="s">
        <v>152</v>
      </c>
      <c r="E41" s="60">
        <v>42353</v>
      </c>
      <c r="F41" s="4" t="s">
        <v>153</v>
      </c>
      <c r="G41" s="4" t="s">
        <v>150</v>
      </c>
      <c r="H41" s="4" t="s">
        <v>150</v>
      </c>
      <c r="O41" s="57" t="s">
        <v>209</v>
      </c>
      <c r="P41" s="58">
        <v>1</v>
      </c>
    </row>
    <row r="42" spans="1:16" s="4" customFormat="1" x14ac:dyDescent="0.25">
      <c r="A42" s="4" t="s">
        <v>210</v>
      </c>
      <c r="B42" s="4" t="s">
        <v>145</v>
      </c>
      <c r="C42" s="4" t="s">
        <v>146</v>
      </c>
      <c r="D42" s="4" t="s">
        <v>152</v>
      </c>
      <c r="E42" s="60">
        <v>42353</v>
      </c>
      <c r="F42" s="4" t="s">
        <v>153</v>
      </c>
      <c r="G42" s="4" t="s">
        <v>150</v>
      </c>
      <c r="H42" s="4" t="s">
        <v>150</v>
      </c>
      <c r="O42" s="57" t="s">
        <v>210</v>
      </c>
      <c r="P42" s="58">
        <v>1</v>
      </c>
    </row>
    <row r="43" spans="1:16" s="4" customFormat="1" x14ac:dyDescent="0.25">
      <c r="A43" s="4" t="s">
        <v>211</v>
      </c>
      <c r="B43" s="4" t="s">
        <v>145</v>
      </c>
      <c r="C43" s="4" t="s">
        <v>146</v>
      </c>
      <c r="D43" s="4" t="s">
        <v>152</v>
      </c>
      <c r="E43" s="60">
        <v>42353</v>
      </c>
      <c r="F43" s="4" t="s">
        <v>153</v>
      </c>
      <c r="G43" s="4" t="s">
        <v>150</v>
      </c>
      <c r="H43" s="4" t="s">
        <v>150</v>
      </c>
      <c r="O43" s="57" t="s">
        <v>211</v>
      </c>
      <c r="P43" s="58">
        <v>1</v>
      </c>
    </row>
    <row r="44" spans="1:16" s="4" customFormat="1" x14ac:dyDescent="0.25">
      <c r="A44" s="4" t="s">
        <v>212</v>
      </c>
      <c r="B44" s="4" t="s">
        <v>145</v>
      </c>
      <c r="C44" s="4" t="s">
        <v>146</v>
      </c>
      <c r="D44" s="4" t="s">
        <v>152</v>
      </c>
      <c r="E44" s="60">
        <v>42353</v>
      </c>
      <c r="F44" s="4" t="s">
        <v>153</v>
      </c>
      <c r="G44" s="4" t="s">
        <v>150</v>
      </c>
      <c r="H44" s="4" t="s">
        <v>150</v>
      </c>
      <c r="O44" s="57" t="s">
        <v>212</v>
      </c>
      <c r="P44" s="58">
        <v>1</v>
      </c>
    </row>
    <row r="45" spans="1:16" s="4" customFormat="1" x14ac:dyDescent="0.25">
      <c r="A45" s="4" t="s">
        <v>213</v>
      </c>
      <c r="B45" s="4" t="s">
        <v>145</v>
      </c>
      <c r="C45" s="4" t="s">
        <v>146</v>
      </c>
      <c r="D45" s="4" t="s">
        <v>152</v>
      </c>
      <c r="E45" s="60">
        <v>42353</v>
      </c>
      <c r="F45" s="4" t="s">
        <v>153</v>
      </c>
      <c r="G45" s="4" t="s">
        <v>150</v>
      </c>
      <c r="H45" s="4" t="s">
        <v>150</v>
      </c>
      <c r="O45" s="57" t="s">
        <v>213</v>
      </c>
      <c r="P45" s="58">
        <v>1</v>
      </c>
    </row>
    <row r="46" spans="1:16" s="4" customFormat="1" x14ac:dyDescent="0.25">
      <c r="A46" s="4" t="s">
        <v>214</v>
      </c>
      <c r="B46" s="4" t="s">
        <v>145</v>
      </c>
      <c r="C46" s="4" t="s">
        <v>146</v>
      </c>
      <c r="D46" s="4" t="s">
        <v>152</v>
      </c>
      <c r="E46" s="60">
        <v>42353</v>
      </c>
      <c r="F46" s="4" t="s">
        <v>153</v>
      </c>
      <c r="G46" s="4" t="s">
        <v>150</v>
      </c>
      <c r="H46" s="4" t="s">
        <v>150</v>
      </c>
      <c r="O46" s="57" t="s">
        <v>214</v>
      </c>
      <c r="P46" s="58">
        <v>1</v>
      </c>
    </row>
    <row r="47" spans="1:16" s="4" customFormat="1" x14ac:dyDescent="0.25">
      <c r="A47" s="4" t="s">
        <v>215</v>
      </c>
      <c r="B47" s="4" t="s">
        <v>145</v>
      </c>
      <c r="C47" s="4" t="s">
        <v>146</v>
      </c>
      <c r="D47" s="4" t="s">
        <v>152</v>
      </c>
      <c r="E47" s="60">
        <v>42353</v>
      </c>
      <c r="F47" s="4" t="s">
        <v>153</v>
      </c>
      <c r="G47" s="4" t="s">
        <v>150</v>
      </c>
      <c r="H47" s="4" t="s">
        <v>150</v>
      </c>
      <c r="O47" s="57" t="s">
        <v>215</v>
      </c>
      <c r="P47" s="58">
        <v>1</v>
      </c>
    </row>
    <row r="48" spans="1:16" s="4" customFormat="1" x14ac:dyDescent="0.25">
      <c r="A48" s="4" t="s">
        <v>216</v>
      </c>
      <c r="B48" s="4" t="s">
        <v>145</v>
      </c>
      <c r="C48" s="4" t="s">
        <v>146</v>
      </c>
      <c r="D48" s="4" t="s">
        <v>152</v>
      </c>
      <c r="E48" s="60">
        <v>42353</v>
      </c>
      <c r="F48" s="4" t="s">
        <v>153</v>
      </c>
      <c r="G48" s="4" t="s">
        <v>150</v>
      </c>
      <c r="H48" s="4" t="s">
        <v>150</v>
      </c>
      <c r="O48" s="57" t="s">
        <v>216</v>
      </c>
      <c r="P48" s="58">
        <v>1</v>
      </c>
    </row>
    <row r="49" spans="1:16" s="4" customFormat="1" x14ac:dyDescent="0.25">
      <c r="A49" s="4" t="s">
        <v>217</v>
      </c>
      <c r="B49" s="4" t="s">
        <v>145</v>
      </c>
      <c r="C49" s="4" t="s">
        <v>146</v>
      </c>
      <c r="D49" s="4" t="s">
        <v>152</v>
      </c>
      <c r="E49" s="60">
        <v>42353</v>
      </c>
      <c r="F49" s="4" t="s">
        <v>153</v>
      </c>
      <c r="G49" s="4" t="s">
        <v>150</v>
      </c>
      <c r="H49" s="4" t="s">
        <v>150</v>
      </c>
      <c r="O49" s="57" t="s">
        <v>217</v>
      </c>
      <c r="P49" s="58">
        <v>1</v>
      </c>
    </row>
    <row r="50" spans="1:16" s="4" customFormat="1" x14ac:dyDescent="0.25">
      <c r="A50" s="4" t="s">
        <v>218</v>
      </c>
      <c r="B50" s="4" t="s">
        <v>145</v>
      </c>
      <c r="C50" s="4" t="s">
        <v>146</v>
      </c>
      <c r="D50" s="4" t="s">
        <v>152</v>
      </c>
      <c r="E50" s="60">
        <v>42353</v>
      </c>
      <c r="F50" s="4" t="s">
        <v>153</v>
      </c>
      <c r="G50" s="4" t="s">
        <v>150</v>
      </c>
      <c r="H50" s="4" t="s">
        <v>150</v>
      </c>
      <c r="O50" s="57" t="s">
        <v>218</v>
      </c>
      <c r="P50" s="58">
        <v>1</v>
      </c>
    </row>
    <row r="51" spans="1:16" s="4" customFormat="1" x14ac:dyDescent="0.25">
      <c r="A51" s="4" t="s">
        <v>219</v>
      </c>
      <c r="B51" s="4" t="s">
        <v>145</v>
      </c>
      <c r="C51" s="4" t="s">
        <v>146</v>
      </c>
      <c r="D51" s="4" t="s">
        <v>155</v>
      </c>
      <c r="E51" s="60">
        <v>42353</v>
      </c>
      <c r="F51" s="4" t="s">
        <v>220</v>
      </c>
      <c r="G51" s="4" t="s">
        <v>150</v>
      </c>
      <c r="H51" s="4" t="s">
        <v>150</v>
      </c>
      <c r="O51" s="57" t="s">
        <v>219</v>
      </c>
      <c r="P51" s="58">
        <v>1</v>
      </c>
    </row>
    <row r="52" spans="1:16" s="4" customFormat="1" x14ac:dyDescent="0.25">
      <c r="A52" s="4" t="s">
        <v>221</v>
      </c>
      <c r="B52" s="4" t="s">
        <v>145</v>
      </c>
      <c r="C52" s="4" t="s">
        <v>146</v>
      </c>
      <c r="D52" s="4" t="s">
        <v>155</v>
      </c>
      <c r="E52" s="60">
        <v>42353</v>
      </c>
      <c r="F52" s="4" t="s">
        <v>222</v>
      </c>
      <c r="G52" s="4" t="s">
        <v>150</v>
      </c>
      <c r="H52" s="4" t="s">
        <v>150</v>
      </c>
      <c r="O52" s="57" t="s">
        <v>221</v>
      </c>
      <c r="P52" s="58">
        <v>1</v>
      </c>
    </row>
    <row r="53" spans="1:16" s="4" customFormat="1" x14ac:dyDescent="0.25">
      <c r="A53" s="4" t="s">
        <v>223</v>
      </c>
      <c r="B53" s="4" t="s">
        <v>145</v>
      </c>
      <c r="C53" s="4" t="s">
        <v>146</v>
      </c>
      <c r="D53" s="4" t="s">
        <v>155</v>
      </c>
      <c r="E53" s="60">
        <v>42353</v>
      </c>
      <c r="F53" s="4" t="s">
        <v>224</v>
      </c>
      <c r="G53" s="4" t="s">
        <v>150</v>
      </c>
      <c r="H53" s="4" t="s">
        <v>150</v>
      </c>
      <c r="O53" s="57" t="s">
        <v>223</v>
      </c>
      <c r="P53" s="58">
        <v>1</v>
      </c>
    </row>
    <row r="54" spans="1:16" s="4" customFormat="1" x14ac:dyDescent="0.25">
      <c r="A54" s="4" t="s">
        <v>225</v>
      </c>
      <c r="B54" s="4" t="s">
        <v>145</v>
      </c>
      <c r="C54" s="4" t="s">
        <v>146</v>
      </c>
      <c r="D54" s="4" t="s">
        <v>155</v>
      </c>
      <c r="E54" s="60">
        <v>42353</v>
      </c>
      <c r="F54" s="4" t="s">
        <v>226</v>
      </c>
      <c r="G54" s="4" t="s">
        <v>150</v>
      </c>
      <c r="H54" s="4" t="s">
        <v>150</v>
      </c>
      <c r="O54" s="57" t="s">
        <v>225</v>
      </c>
      <c r="P54" s="58">
        <v>1</v>
      </c>
    </row>
    <row r="55" spans="1:16" s="4" customFormat="1" x14ac:dyDescent="0.25">
      <c r="A55" s="4" t="s">
        <v>227</v>
      </c>
      <c r="B55" s="4" t="s">
        <v>145</v>
      </c>
      <c r="C55" s="4" t="s">
        <v>146</v>
      </c>
      <c r="D55" s="4" t="s">
        <v>155</v>
      </c>
      <c r="E55" s="60">
        <v>42353</v>
      </c>
      <c r="F55" s="4" t="s">
        <v>228</v>
      </c>
      <c r="G55" s="4" t="s">
        <v>150</v>
      </c>
      <c r="H55" s="4" t="s">
        <v>150</v>
      </c>
      <c r="O55" s="57" t="s">
        <v>227</v>
      </c>
      <c r="P55" s="58">
        <v>1</v>
      </c>
    </row>
    <row r="56" spans="1:16" s="4" customFormat="1" x14ac:dyDescent="0.25">
      <c r="A56" s="4" t="s">
        <v>229</v>
      </c>
      <c r="B56" s="4" t="s">
        <v>145</v>
      </c>
      <c r="C56" s="4" t="s">
        <v>146</v>
      </c>
      <c r="D56" s="4" t="s">
        <v>155</v>
      </c>
      <c r="E56" s="60">
        <v>42353</v>
      </c>
      <c r="F56" s="4" t="s">
        <v>230</v>
      </c>
      <c r="G56" s="4" t="s">
        <v>150</v>
      </c>
      <c r="H56" s="4" t="s">
        <v>128</v>
      </c>
      <c r="O56" s="57" t="s">
        <v>229</v>
      </c>
      <c r="P56" s="58">
        <v>1</v>
      </c>
    </row>
    <row r="57" spans="1:16" s="4" customFormat="1" x14ac:dyDescent="0.25">
      <c r="A57" s="4" t="s">
        <v>231</v>
      </c>
      <c r="B57" s="4" t="s">
        <v>145</v>
      </c>
      <c r="C57" s="4" t="s">
        <v>146</v>
      </c>
      <c r="D57" s="4" t="s">
        <v>155</v>
      </c>
      <c r="E57" s="60">
        <v>42353</v>
      </c>
      <c r="F57" s="4" t="s">
        <v>232</v>
      </c>
      <c r="G57" s="4" t="s">
        <v>150</v>
      </c>
      <c r="H57" s="4" t="s">
        <v>150</v>
      </c>
      <c r="O57" s="57" t="s">
        <v>231</v>
      </c>
      <c r="P57" s="58">
        <v>1</v>
      </c>
    </row>
    <row r="58" spans="1:16" s="4" customFormat="1" x14ac:dyDescent="0.25">
      <c r="A58" s="4" t="s">
        <v>233</v>
      </c>
      <c r="B58" s="4" t="s">
        <v>145</v>
      </c>
      <c r="C58" s="4" t="s">
        <v>146</v>
      </c>
      <c r="D58" s="4" t="s">
        <v>152</v>
      </c>
      <c r="E58" s="60">
        <v>42353</v>
      </c>
      <c r="F58" s="4" t="s">
        <v>153</v>
      </c>
      <c r="G58" s="4" t="s">
        <v>150</v>
      </c>
      <c r="H58" s="4" t="s">
        <v>150</v>
      </c>
      <c r="O58" s="57" t="s">
        <v>233</v>
      </c>
      <c r="P58" s="58">
        <v>1</v>
      </c>
    </row>
    <row r="59" spans="1:16" s="4" customFormat="1" x14ac:dyDescent="0.25">
      <c r="A59" s="4" t="s">
        <v>234</v>
      </c>
      <c r="B59" s="4" t="s">
        <v>145</v>
      </c>
      <c r="C59" s="4" t="s">
        <v>146</v>
      </c>
      <c r="D59" s="4" t="s">
        <v>155</v>
      </c>
      <c r="E59" s="60">
        <v>42353</v>
      </c>
      <c r="F59" s="4" t="s">
        <v>163</v>
      </c>
      <c r="G59" s="4" t="s">
        <v>150</v>
      </c>
      <c r="H59" s="4" t="s">
        <v>121</v>
      </c>
      <c r="O59" s="57" t="s">
        <v>234</v>
      </c>
      <c r="P59" s="58">
        <v>1</v>
      </c>
    </row>
    <row r="60" spans="1:16" s="4" customFormat="1" x14ac:dyDescent="0.25">
      <c r="A60" s="4" t="s">
        <v>235</v>
      </c>
      <c r="B60" s="4" t="s">
        <v>145</v>
      </c>
      <c r="C60" s="4" t="s">
        <v>146</v>
      </c>
      <c r="D60" s="4" t="s">
        <v>155</v>
      </c>
      <c r="E60" s="60">
        <v>42353</v>
      </c>
      <c r="F60" s="4" t="s">
        <v>236</v>
      </c>
      <c r="G60" s="4" t="s">
        <v>150</v>
      </c>
      <c r="H60" s="4" t="s">
        <v>237</v>
      </c>
      <c r="O60" s="57" t="s">
        <v>235</v>
      </c>
      <c r="P60" s="58">
        <v>1</v>
      </c>
    </row>
    <row r="61" spans="1:16" s="4" customFormat="1" x14ac:dyDescent="0.25">
      <c r="A61" s="4" t="s">
        <v>238</v>
      </c>
      <c r="B61" s="4" t="s">
        <v>145</v>
      </c>
      <c r="C61" s="4" t="s">
        <v>146</v>
      </c>
      <c r="D61" s="4" t="s">
        <v>155</v>
      </c>
      <c r="E61" s="60">
        <v>42353</v>
      </c>
      <c r="F61" s="4" t="s">
        <v>163</v>
      </c>
      <c r="G61" s="4" t="s">
        <v>150</v>
      </c>
      <c r="H61" s="4" t="s">
        <v>239</v>
      </c>
      <c r="O61" s="57" t="s">
        <v>238</v>
      </c>
      <c r="P61" s="58">
        <v>1</v>
      </c>
    </row>
    <row r="62" spans="1:16" s="4" customFormat="1" x14ac:dyDescent="0.25">
      <c r="A62" s="4" t="s">
        <v>240</v>
      </c>
      <c r="B62" s="4" t="s">
        <v>145</v>
      </c>
      <c r="C62" s="4" t="s">
        <v>146</v>
      </c>
      <c r="D62" s="4" t="s">
        <v>155</v>
      </c>
      <c r="E62" s="60">
        <v>42353</v>
      </c>
      <c r="F62" s="4" t="s">
        <v>241</v>
      </c>
      <c r="G62" s="4" t="s">
        <v>150</v>
      </c>
      <c r="H62" s="4" t="s">
        <v>150</v>
      </c>
      <c r="O62" s="57" t="s">
        <v>240</v>
      </c>
      <c r="P62" s="58">
        <v>1</v>
      </c>
    </row>
    <row r="63" spans="1:16" s="4" customFormat="1" x14ac:dyDescent="0.25">
      <c r="A63" s="4" t="s">
        <v>242</v>
      </c>
      <c r="B63" s="4" t="s">
        <v>145</v>
      </c>
      <c r="C63" s="4" t="s">
        <v>146</v>
      </c>
      <c r="D63" s="4" t="s">
        <v>152</v>
      </c>
      <c r="E63" s="60">
        <v>42353</v>
      </c>
      <c r="F63" s="4" t="s">
        <v>153</v>
      </c>
      <c r="G63" s="4" t="s">
        <v>150</v>
      </c>
      <c r="H63" s="4" t="s">
        <v>150</v>
      </c>
      <c r="O63" s="57" t="s">
        <v>242</v>
      </c>
      <c r="P63" s="58">
        <v>1</v>
      </c>
    </row>
    <row r="64" spans="1:16" s="4" customFormat="1" x14ac:dyDescent="0.25">
      <c r="A64" s="4" t="s">
        <v>243</v>
      </c>
      <c r="B64" s="4" t="s">
        <v>145</v>
      </c>
      <c r="C64" s="4" t="s">
        <v>146</v>
      </c>
      <c r="D64" s="4" t="s">
        <v>155</v>
      </c>
      <c r="E64" s="60">
        <v>42353</v>
      </c>
      <c r="F64" s="4" t="s">
        <v>244</v>
      </c>
      <c r="G64" s="4" t="s">
        <v>150</v>
      </c>
      <c r="H64" s="4" t="s">
        <v>130</v>
      </c>
      <c r="O64" s="57" t="s">
        <v>243</v>
      </c>
      <c r="P64" s="58">
        <v>1</v>
      </c>
    </row>
    <row r="65" spans="1:16" s="4" customFormat="1" x14ac:dyDescent="0.25">
      <c r="A65" s="4" t="s">
        <v>245</v>
      </c>
      <c r="B65" s="4" t="s">
        <v>145</v>
      </c>
      <c r="C65" s="4" t="s">
        <v>146</v>
      </c>
      <c r="D65" s="4" t="s">
        <v>155</v>
      </c>
      <c r="E65" s="60">
        <v>42353</v>
      </c>
      <c r="F65" s="4" t="s">
        <v>246</v>
      </c>
      <c r="G65" s="4" t="s">
        <v>150</v>
      </c>
      <c r="H65" s="4" t="s">
        <v>150</v>
      </c>
      <c r="O65" s="57" t="s">
        <v>245</v>
      </c>
      <c r="P65" s="58">
        <v>1</v>
      </c>
    </row>
    <row r="66" spans="1:16" s="4" customFormat="1" x14ac:dyDescent="0.25">
      <c r="A66" s="4" t="s">
        <v>247</v>
      </c>
      <c r="B66" s="4" t="s">
        <v>145</v>
      </c>
      <c r="C66" s="4" t="s">
        <v>146</v>
      </c>
      <c r="D66" s="4" t="s">
        <v>155</v>
      </c>
      <c r="E66" s="60">
        <v>42353</v>
      </c>
      <c r="F66" s="4" t="s">
        <v>248</v>
      </c>
      <c r="G66" s="4" t="s">
        <v>150</v>
      </c>
      <c r="H66" s="4" t="s">
        <v>134</v>
      </c>
      <c r="O66" s="57" t="s">
        <v>247</v>
      </c>
      <c r="P66" s="58">
        <v>1</v>
      </c>
    </row>
    <row r="67" spans="1:16" s="4" customFormat="1" x14ac:dyDescent="0.25">
      <c r="A67" s="4" t="s">
        <v>249</v>
      </c>
      <c r="B67" s="4" t="s">
        <v>145</v>
      </c>
      <c r="C67" s="4" t="s">
        <v>146</v>
      </c>
      <c r="D67" s="4" t="s">
        <v>155</v>
      </c>
      <c r="E67" s="60">
        <v>42353</v>
      </c>
      <c r="F67" s="4" t="s">
        <v>199</v>
      </c>
      <c r="G67" s="4" t="s">
        <v>150</v>
      </c>
      <c r="H67" s="4" t="s">
        <v>116</v>
      </c>
      <c r="O67" s="57" t="s">
        <v>249</v>
      </c>
      <c r="P67" s="58">
        <v>1</v>
      </c>
    </row>
    <row r="68" spans="1:16" s="4" customFormat="1" x14ac:dyDescent="0.25">
      <c r="A68" s="4" t="s">
        <v>250</v>
      </c>
      <c r="B68" s="4" t="s">
        <v>145</v>
      </c>
      <c r="C68" s="4" t="s">
        <v>146</v>
      </c>
      <c r="D68" s="4" t="s">
        <v>152</v>
      </c>
      <c r="E68" s="60">
        <v>42353</v>
      </c>
      <c r="F68" s="4" t="s">
        <v>153</v>
      </c>
      <c r="G68" s="4" t="s">
        <v>150</v>
      </c>
      <c r="H68" s="4" t="s">
        <v>150</v>
      </c>
      <c r="O68" s="57" t="s">
        <v>250</v>
      </c>
      <c r="P68" s="58">
        <v>1</v>
      </c>
    </row>
    <row r="69" spans="1:16" s="4" customFormat="1" x14ac:dyDescent="0.25">
      <c r="A69" s="4" t="s">
        <v>251</v>
      </c>
      <c r="B69" s="4" t="s">
        <v>145</v>
      </c>
      <c r="C69" s="4" t="s">
        <v>146</v>
      </c>
      <c r="D69" s="4" t="s">
        <v>152</v>
      </c>
      <c r="E69" s="60">
        <v>42353</v>
      </c>
      <c r="F69" s="4" t="s">
        <v>153</v>
      </c>
      <c r="G69" s="4" t="s">
        <v>150</v>
      </c>
      <c r="H69" s="4" t="s">
        <v>150</v>
      </c>
      <c r="O69" s="57" t="s">
        <v>251</v>
      </c>
      <c r="P69" s="58">
        <v>1</v>
      </c>
    </row>
    <row r="70" spans="1:16" s="4" customFormat="1" x14ac:dyDescent="0.25">
      <c r="A70" s="4" t="s">
        <v>252</v>
      </c>
      <c r="B70" s="4" t="s">
        <v>145</v>
      </c>
      <c r="C70" s="4" t="s">
        <v>146</v>
      </c>
      <c r="D70" s="4" t="s">
        <v>152</v>
      </c>
      <c r="E70" s="60">
        <v>42353</v>
      </c>
      <c r="F70" s="4" t="s">
        <v>153</v>
      </c>
      <c r="G70" s="4" t="s">
        <v>150</v>
      </c>
      <c r="H70" s="4" t="s">
        <v>150</v>
      </c>
      <c r="O70" s="57" t="s">
        <v>252</v>
      </c>
      <c r="P70" s="58">
        <v>1</v>
      </c>
    </row>
    <row r="71" spans="1:16" s="4" customFormat="1" x14ac:dyDescent="0.25">
      <c r="A71" s="4" t="s">
        <v>253</v>
      </c>
      <c r="B71" s="4" t="s">
        <v>145</v>
      </c>
      <c r="C71" s="4" t="s">
        <v>146</v>
      </c>
      <c r="D71" s="4" t="s">
        <v>152</v>
      </c>
      <c r="E71" s="60">
        <v>42353</v>
      </c>
      <c r="F71" s="4" t="s">
        <v>153</v>
      </c>
      <c r="G71" s="4" t="s">
        <v>150</v>
      </c>
      <c r="H71" s="4" t="s">
        <v>150</v>
      </c>
      <c r="O71" s="57" t="s">
        <v>253</v>
      </c>
      <c r="P71" s="58">
        <v>1</v>
      </c>
    </row>
    <row r="72" spans="1:16" s="4" customFormat="1" x14ac:dyDescent="0.25">
      <c r="A72" s="4" t="s">
        <v>254</v>
      </c>
      <c r="B72" s="4" t="s">
        <v>145</v>
      </c>
      <c r="C72" s="4" t="s">
        <v>146</v>
      </c>
      <c r="D72" s="4" t="s">
        <v>152</v>
      </c>
      <c r="E72" s="60">
        <v>42353</v>
      </c>
      <c r="F72" s="4" t="s">
        <v>153</v>
      </c>
      <c r="G72" s="4" t="s">
        <v>150</v>
      </c>
      <c r="H72" s="4" t="s">
        <v>150</v>
      </c>
      <c r="O72" s="57" t="s">
        <v>254</v>
      </c>
      <c r="P72" s="58">
        <v>1</v>
      </c>
    </row>
    <row r="73" spans="1:16" s="4" customFormat="1" x14ac:dyDescent="0.25">
      <c r="A73" s="4" t="s">
        <v>255</v>
      </c>
      <c r="B73" s="4" t="s">
        <v>145</v>
      </c>
      <c r="C73" s="4" t="s">
        <v>146</v>
      </c>
      <c r="D73" s="4" t="s">
        <v>155</v>
      </c>
      <c r="E73" s="60">
        <v>42353</v>
      </c>
      <c r="F73" s="4" t="s">
        <v>256</v>
      </c>
      <c r="G73" s="4" t="s">
        <v>150</v>
      </c>
      <c r="H73" s="4" t="s">
        <v>150</v>
      </c>
      <c r="O73" s="57" t="s">
        <v>255</v>
      </c>
      <c r="P73" s="58">
        <v>1</v>
      </c>
    </row>
    <row r="74" spans="1:16" s="4" customFormat="1" x14ac:dyDescent="0.25">
      <c r="A74" s="4" t="s">
        <v>257</v>
      </c>
      <c r="B74" s="4" t="s">
        <v>145</v>
      </c>
      <c r="C74" s="4" t="s">
        <v>146</v>
      </c>
      <c r="D74" s="4" t="s">
        <v>152</v>
      </c>
      <c r="E74" s="60">
        <v>42353</v>
      </c>
      <c r="F74" s="4" t="s">
        <v>153</v>
      </c>
      <c r="G74" s="4" t="s">
        <v>150</v>
      </c>
      <c r="H74" s="4" t="s">
        <v>150</v>
      </c>
      <c r="O74" s="57" t="s">
        <v>257</v>
      </c>
      <c r="P74" s="58">
        <v>1</v>
      </c>
    </row>
    <row r="75" spans="1:16" s="4" customFormat="1" x14ac:dyDescent="0.25">
      <c r="A75" s="4" t="s">
        <v>258</v>
      </c>
      <c r="B75" s="4" t="s">
        <v>145</v>
      </c>
      <c r="C75" s="4" t="s">
        <v>146</v>
      </c>
      <c r="D75" s="4" t="s">
        <v>152</v>
      </c>
      <c r="E75" s="60">
        <v>42353</v>
      </c>
      <c r="F75" s="4" t="s">
        <v>153</v>
      </c>
      <c r="G75" s="4" t="s">
        <v>150</v>
      </c>
      <c r="H75" s="4" t="s">
        <v>150</v>
      </c>
      <c r="O75" s="57" t="s">
        <v>258</v>
      </c>
      <c r="P75" s="58">
        <v>1</v>
      </c>
    </row>
    <row r="76" spans="1:16" s="4" customFormat="1" x14ac:dyDescent="0.25">
      <c r="A76" s="4" t="s">
        <v>259</v>
      </c>
      <c r="B76" s="4" t="s">
        <v>145</v>
      </c>
      <c r="C76" s="4" t="s">
        <v>146</v>
      </c>
      <c r="D76" s="4" t="s">
        <v>155</v>
      </c>
      <c r="E76" s="60">
        <v>42353</v>
      </c>
      <c r="F76" s="4" t="s">
        <v>260</v>
      </c>
      <c r="G76" s="4" t="s">
        <v>150</v>
      </c>
      <c r="H76" s="4" t="s">
        <v>123</v>
      </c>
      <c r="O76" s="57" t="s">
        <v>259</v>
      </c>
      <c r="P76" s="58">
        <v>1</v>
      </c>
    </row>
    <row r="77" spans="1:16" s="4" customFormat="1" x14ac:dyDescent="0.25">
      <c r="A77" s="4" t="s">
        <v>261</v>
      </c>
      <c r="B77" s="4" t="s">
        <v>145</v>
      </c>
      <c r="C77" s="4" t="s">
        <v>146</v>
      </c>
      <c r="D77" s="4" t="s">
        <v>155</v>
      </c>
      <c r="E77" s="60">
        <v>42353</v>
      </c>
      <c r="F77" s="4" t="s">
        <v>262</v>
      </c>
      <c r="G77" s="4" t="s">
        <v>150</v>
      </c>
      <c r="H77" s="4" t="s">
        <v>134</v>
      </c>
      <c r="O77" s="57" t="s">
        <v>261</v>
      </c>
      <c r="P77" s="58">
        <v>1</v>
      </c>
    </row>
    <row r="78" spans="1:16" s="4" customFormat="1" x14ac:dyDescent="0.25">
      <c r="A78" s="4" t="s">
        <v>263</v>
      </c>
      <c r="B78" s="4" t="s">
        <v>145</v>
      </c>
      <c r="C78" s="4" t="s">
        <v>146</v>
      </c>
      <c r="D78" s="4" t="s">
        <v>152</v>
      </c>
      <c r="E78" s="60">
        <v>42353</v>
      </c>
      <c r="F78" s="4" t="s">
        <v>153</v>
      </c>
      <c r="G78" s="4" t="s">
        <v>150</v>
      </c>
      <c r="H78" s="4" t="s">
        <v>150</v>
      </c>
      <c r="O78" s="57" t="s">
        <v>263</v>
      </c>
      <c r="P78" s="58">
        <v>1</v>
      </c>
    </row>
    <row r="79" spans="1:16" s="4" customFormat="1" x14ac:dyDescent="0.25">
      <c r="A79" s="4" t="s">
        <v>264</v>
      </c>
      <c r="B79" s="4" t="s">
        <v>145</v>
      </c>
      <c r="C79" s="4" t="s">
        <v>146</v>
      </c>
      <c r="D79" s="4" t="s">
        <v>155</v>
      </c>
      <c r="E79" s="60">
        <v>42353</v>
      </c>
      <c r="F79" s="4" t="s">
        <v>222</v>
      </c>
      <c r="G79" s="4" t="s">
        <v>150</v>
      </c>
      <c r="H79" s="4" t="s">
        <v>150</v>
      </c>
      <c r="O79" s="57" t="s">
        <v>264</v>
      </c>
      <c r="P79" s="58">
        <v>1</v>
      </c>
    </row>
    <row r="80" spans="1:16" s="4" customFormat="1" x14ac:dyDescent="0.25">
      <c r="A80" s="4" t="s">
        <v>265</v>
      </c>
      <c r="B80" s="4" t="s">
        <v>145</v>
      </c>
      <c r="C80" s="4" t="s">
        <v>146</v>
      </c>
      <c r="D80" s="4" t="s">
        <v>152</v>
      </c>
      <c r="E80" s="60">
        <v>42353</v>
      </c>
      <c r="F80" s="4" t="s">
        <v>153</v>
      </c>
      <c r="G80" s="4" t="s">
        <v>150</v>
      </c>
      <c r="H80" s="4" t="s">
        <v>150</v>
      </c>
      <c r="O80" s="57" t="s">
        <v>265</v>
      </c>
      <c r="P80" s="58">
        <v>1</v>
      </c>
    </row>
    <row r="81" spans="1:16" s="4" customFormat="1" x14ac:dyDescent="0.25">
      <c r="A81" s="4" t="s">
        <v>266</v>
      </c>
      <c r="B81" s="4" t="s">
        <v>145</v>
      </c>
      <c r="C81" s="4" t="s">
        <v>146</v>
      </c>
      <c r="D81" s="4" t="s">
        <v>152</v>
      </c>
      <c r="E81" s="60">
        <v>42353</v>
      </c>
      <c r="F81" s="4" t="s">
        <v>267</v>
      </c>
      <c r="G81" s="4" t="s">
        <v>150</v>
      </c>
      <c r="H81" s="4" t="s">
        <v>150</v>
      </c>
      <c r="O81" s="57" t="s">
        <v>266</v>
      </c>
      <c r="P81" s="58">
        <v>1</v>
      </c>
    </row>
    <row r="82" spans="1:16" s="4" customFormat="1" x14ac:dyDescent="0.25">
      <c r="A82" s="4" t="s">
        <v>268</v>
      </c>
      <c r="B82" s="4" t="s">
        <v>145</v>
      </c>
      <c r="C82" s="4" t="s">
        <v>146</v>
      </c>
      <c r="D82" s="4" t="s">
        <v>152</v>
      </c>
      <c r="E82" s="60">
        <v>42353</v>
      </c>
      <c r="F82" s="4" t="s">
        <v>267</v>
      </c>
      <c r="G82" s="4" t="s">
        <v>150</v>
      </c>
      <c r="H82" s="4" t="s">
        <v>150</v>
      </c>
      <c r="O82" s="57" t="s">
        <v>268</v>
      </c>
      <c r="P82" s="58">
        <v>1</v>
      </c>
    </row>
    <row r="83" spans="1:16" s="4" customFormat="1" x14ac:dyDescent="0.25">
      <c r="A83" s="4" t="s">
        <v>269</v>
      </c>
      <c r="B83" s="4" t="s">
        <v>145</v>
      </c>
      <c r="C83" s="4" t="s">
        <v>146</v>
      </c>
      <c r="D83" s="4" t="s">
        <v>152</v>
      </c>
      <c r="E83" s="60">
        <v>42353</v>
      </c>
      <c r="F83" s="4" t="s">
        <v>267</v>
      </c>
      <c r="G83" s="4" t="s">
        <v>150</v>
      </c>
      <c r="H83" s="4" t="s">
        <v>134</v>
      </c>
      <c r="O83" s="57" t="s">
        <v>269</v>
      </c>
      <c r="P83" s="58">
        <v>1</v>
      </c>
    </row>
    <row r="84" spans="1:16" s="4" customFormat="1" x14ac:dyDescent="0.25">
      <c r="A84" s="4" t="s">
        <v>270</v>
      </c>
      <c r="B84" s="4" t="s">
        <v>145</v>
      </c>
      <c r="C84" s="4" t="s">
        <v>146</v>
      </c>
      <c r="D84" s="4" t="s">
        <v>152</v>
      </c>
      <c r="E84" s="60">
        <v>42353</v>
      </c>
      <c r="F84" s="4" t="s">
        <v>267</v>
      </c>
      <c r="G84" s="4" t="s">
        <v>150</v>
      </c>
      <c r="H84" s="4" t="s">
        <v>271</v>
      </c>
      <c r="O84" s="57" t="s">
        <v>270</v>
      </c>
      <c r="P84" s="58">
        <v>1</v>
      </c>
    </row>
    <row r="85" spans="1:16" s="4" customFormat="1" x14ac:dyDescent="0.25">
      <c r="A85" s="4" t="s">
        <v>272</v>
      </c>
      <c r="B85" s="4" t="s">
        <v>145</v>
      </c>
      <c r="C85" s="4" t="s">
        <v>146</v>
      </c>
      <c r="D85" s="4" t="s">
        <v>152</v>
      </c>
      <c r="E85" s="60">
        <v>42353</v>
      </c>
      <c r="F85" s="4" t="s">
        <v>267</v>
      </c>
      <c r="G85" s="4" t="s">
        <v>150</v>
      </c>
      <c r="H85" s="4" t="s">
        <v>121</v>
      </c>
      <c r="O85" s="57" t="s">
        <v>272</v>
      </c>
      <c r="P85" s="58">
        <v>1</v>
      </c>
    </row>
    <row r="86" spans="1:16" s="4" customFormat="1" x14ac:dyDescent="0.25">
      <c r="A86" s="4" t="s">
        <v>273</v>
      </c>
      <c r="B86" s="4" t="s">
        <v>145</v>
      </c>
      <c r="C86" s="4" t="s">
        <v>146</v>
      </c>
      <c r="D86" s="4" t="s">
        <v>147</v>
      </c>
      <c r="E86" s="60">
        <v>42353</v>
      </c>
      <c r="F86" s="4" t="s">
        <v>274</v>
      </c>
      <c r="G86" s="4" t="s">
        <v>149</v>
      </c>
      <c r="H86" s="4" t="s">
        <v>127</v>
      </c>
      <c r="O86" s="57" t="s">
        <v>273</v>
      </c>
      <c r="P86" s="58">
        <v>1</v>
      </c>
    </row>
    <row r="87" spans="1:16" s="4" customFormat="1" x14ac:dyDescent="0.25">
      <c r="A87" s="4" t="s">
        <v>275</v>
      </c>
      <c r="B87" s="4" t="s">
        <v>145</v>
      </c>
      <c r="C87" s="4" t="s">
        <v>146</v>
      </c>
      <c r="D87" s="4" t="s">
        <v>152</v>
      </c>
      <c r="E87" s="60">
        <v>42353</v>
      </c>
      <c r="F87" s="4" t="s">
        <v>153</v>
      </c>
      <c r="G87" s="4" t="s">
        <v>150</v>
      </c>
      <c r="H87" s="4" t="s">
        <v>150</v>
      </c>
      <c r="O87" s="57" t="s">
        <v>275</v>
      </c>
      <c r="P87" s="58">
        <v>1</v>
      </c>
    </row>
    <row r="88" spans="1:16" s="4" customFormat="1" x14ac:dyDescent="0.25">
      <c r="A88" s="4" t="s">
        <v>276</v>
      </c>
      <c r="B88" s="4" t="s">
        <v>145</v>
      </c>
      <c r="C88" s="4" t="s">
        <v>146</v>
      </c>
      <c r="D88" s="4" t="s">
        <v>147</v>
      </c>
      <c r="E88" s="60">
        <v>42353</v>
      </c>
      <c r="F88" s="4" t="s">
        <v>277</v>
      </c>
      <c r="G88" s="4" t="s">
        <v>149</v>
      </c>
      <c r="H88" s="4" t="s">
        <v>150</v>
      </c>
      <c r="O88" s="57" t="s">
        <v>276</v>
      </c>
      <c r="P88" s="58">
        <v>1</v>
      </c>
    </row>
    <row r="89" spans="1:16" s="4" customFormat="1" x14ac:dyDescent="0.25">
      <c r="A89" s="4" t="s">
        <v>278</v>
      </c>
      <c r="B89" s="4" t="s">
        <v>145</v>
      </c>
      <c r="C89" s="4" t="s">
        <v>146</v>
      </c>
      <c r="D89" s="4" t="s">
        <v>152</v>
      </c>
      <c r="E89" s="60">
        <v>42353</v>
      </c>
      <c r="F89" s="4" t="s">
        <v>153</v>
      </c>
      <c r="G89" s="4" t="s">
        <v>150</v>
      </c>
      <c r="H89" s="4" t="s">
        <v>150</v>
      </c>
      <c r="O89" s="57" t="s">
        <v>278</v>
      </c>
      <c r="P89" s="58">
        <v>1</v>
      </c>
    </row>
    <row r="90" spans="1:16" s="4" customFormat="1" x14ac:dyDescent="0.25">
      <c r="A90" s="4" t="s">
        <v>279</v>
      </c>
      <c r="B90" s="4" t="s">
        <v>145</v>
      </c>
      <c r="C90" s="4" t="s">
        <v>146</v>
      </c>
      <c r="D90" s="4" t="s">
        <v>155</v>
      </c>
      <c r="E90" s="60">
        <v>42353</v>
      </c>
      <c r="F90" s="4" t="s">
        <v>226</v>
      </c>
      <c r="G90" s="4" t="s">
        <v>150</v>
      </c>
      <c r="H90" s="4" t="s">
        <v>150</v>
      </c>
      <c r="O90" s="57" t="s">
        <v>279</v>
      </c>
      <c r="P90" s="58">
        <v>1</v>
      </c>
    </row>
    <row r="91" spans="1:16" s="4" customFormat="1" x14ac:dyDescent="0.25">
      <c r="A91" s="4" t="s">
        <v>280</v>
      </c>
      <c r="B91" s="4" t="s">
        <v>145</v>
      </c>
      <c r="C91" s="4" t="s">
        <v>146</v>
      </c>
      <c r="D91" s="4" t="s">
        <v>155</v>
      </c>
      <c r="E91" s="60">
        <v>42353</v>
      </c>
      <c r="F91" s="4" t="s">
        <v>226</v>
      </c>
      <c r="G91" s="4" t="s">
        <v>150</v>
      </c>
      <c r="H91" s="4" t="s">
        <v>150</v>
      </c>
      <c r="O91" s="57" t="s">
        <v>280</v>
      </c>
      <c r="P91" s="58">
        <v>1</v>
      </c>
    </row>
    <row r="92" spans="1:16" s="4" customFormat="1" x14ac:dyDescent="0.25">
      <c r="A92" s="4" t="s">
        <v>281</v>
      </c>
      <c r="B92" s="4" t="s">
        <v>145</v>
      </c>
      <c r="C92" s="4" t="s">
        <v>146</v>
      </c>
      <c r="D92" s="4" t="s">
        <v>152</v>
      </c>
      <c r="E92" s="60">
        <v>42353</v>
      </c>
      <c r="F92" s="4" t="s">
        <v>153</v>
      </c>
      <c r="G92" s="4" t="s">
        <v>150</v>
      </c>
      <c r="H92" s="4" t="s">
        <v>150</v>
      </c>
      <c r="O92" s="57" t="s">
        <v>281</v>
      </c>
      <c r="P92" s="58">
        <v>1</v>
      </c>
    </row>
    <row r="93" spans="1:16" s="4" customFormat="1" x14ac:dyDescent="0.25">
      <c r="A93" s="4" t="s">
        <v>282</v>
      </c>
      <c r="B93" s="4" t="s">
        <v>145</v>
      </c>
      <c r="C93" s="4" t="s">
        <v>146</v>
      </c>
      <c r="D93" s="4" t="s">
        <v>152</v>
      </c>
      <c r="E93" s="60">
        <v>42353</v>
      </c>
      <c r="F93" s="4" t="s">
        <v>153</v>
      </c>
      <c r="G93" s="4" t="s">
        <v>150</v>
      </c>
      <c r="H93" s="4" t="s">
        <v>150</v>
      </c>
      <c r="O93" s="57" t="s">
        <v>282</v>
      </c>
      <c r="P93" s="58">
        <v>1</v>
      </c>
    </row>
    <row r="94" spans="1:16" s="4" customFormat="1" x14ac:dyDescent="0.25">
      <c r="A94" s="4" t="s">
        <v>283</v>
      </c>
      <c r="B94" s="4" t="s">
        <v>145</v>
      </c>
      <c r="C94" s="4" t="s">
        <v>146</v>
      </c>
      <c r="D94" s="4" t="s">
        <v>152</v>
      </c>
      <c r="E94" s="60">
        <v>42353</v>
      </c>
      <c r="F94" s="4" t="s">
        <v>153</v>
      </c>
      <c r="G94" s="4" t="s">
        <v>150</v>
      </c>
      <c r="H94" s="4" t="s">
        <v>150</v>
      </c>
      <c r="O94" s="57" t="s">
        <v>283</v>
      </c>
      <c r="P94" s="58">
        <v>1</v>
      </c>
    </row>
    <row r="95" spans="1:16" s="4" customFormat="1" x14ac:dyDescent="0.25">
      <c r="A95" s="4" t="s">
        <v>284</v>
      </c>
      <c r="B95" s="4" t="s">
        <v>145</v>
      </c>
      <c r="C95" s="4" t="s">
        <v>146</v>
      </c>
      <c r="D95" s="4" t="s">
        <v>152</v>
      </c>
      <c r="E95" s="60">
        <v>42353</v>
      </c>
      <c r="F95" s="4" t="s">
        <v>153</v>
      </c>
      <c r="G95" s="4" t="s">
        <v>150</v>
      </c>
      <c r="H95" s="4" t="s">
        <v>150</v>
      </c>
      <c r="O95" s="57" t="s">
        <v>284</v>
      </c>
      <c r="P95" s="58">
        <v>1</v>
      </c>
    </row>
    <row r="96" spans="1:16" s="4" customFormat="1" x14ac:dyDescent="0.25">
      <c r="A96" s="4" t="s">
        <v>285</v>
      </c>
      <c r="B96" s="4" t="s">
        <v>145</v>
      </c>
      <c r="C96" s="4" t="s">
        <v>146</v>
      </c>
      <c r="D96" s="4" t="s">
        <v>152</v>
      </c>
      <c r="E96" s="60">
        <v>42353</v>
      </c>
      <c r="F96" s="4" t="s">
        <v>153</v>
      </c>
      <c r="G96" s="4" t="s">
        <v>150</v>
      </c>
      <c r="H96" s="4" t="s">
        <v>150</v>
      </c>
      <c r="O96" s="57" t="s">
        <v>285</v>
      </c>
      <c r="P96" s="58">
        <v>1</v>
      </c>
    </row>
    <row r="97" spans="1:16" s="4" customFormat="1" x14ac:dyDescent="0.25">
      <c r="A97" s="4" t="s">
        <v>286</v>
      </c>
      <c r="B97" s="4" t="s">
        <v>145</v>
      </c>
      <c r="C97" s="4" t="s">
        <v>146</v>
      </c>
      <c r="D97" s="4" t="s">
        <v>155</v>
      </c>
      <c r="E97" s="60">
        <v>42353</v>
      </c>
      <c r="F97" s="4" t="s">
        <v>287</v>
      </c>
      <c r="G97" s="4" t="s">
        <v>150</v>
      </c>
      <c r="H97" s="4" t="s">
        <v>150</v>
      </c>
      <c r="O97" s="57" t="s">
        <v>286</v>
      </c>
      <c r="P97" s="58">
        <v>1</v>
      </c>
    </row>
    <row r="98" spans="1:16" s="4" customFormat="1" x14ac:dyDescent="0.25">
      <c r="A98" s="4" t="s">
        <v>288</v>
      </c>
      <c r="B98" s="4" t="s">
        <v>145</v>
      </c>
      <c r="C98" s="4" t="s">
        <v>146</v>
      </c>
      <c r="D98" s="4" t="s">
        <v>152</v>
      </c>
      <c r="E98" s="60">
        <v>42353</v>
      </c>
      <c r="F98" s="4" t="s">
        <v>153</v>
      </c>
      <c r="G98" s="4" t="s">
        <v>150</v>
      </c>
      <c r="H98" s="4" t="s">
        <v>150</v>
      </c>
      <c r="O98" s="57" t="s">
        <v>288</v>
      </c>
      <c r="P98" s="58">
        <v>1</v>
      </c>
    </row>
    <row r="99" spans="1:16" s="4" customFormat="1" x14ac:dyDescent="0.25">
      <c r="A99" s="4" t="s">
        <v>289</v>
      </c>
      <c r="B99" s="4" t="s">
        <v>145</v>
      </c>
      <c r="C99" s="4" t="s">
        <v>146</v>
      </c>
      <c r="D99" s="4" t="s">
        <v>152</v>
      </c>
      <c r="E99" s="60">
        <v>42353</v>
      </c>
      <c r="F99" s="4" t="s">
        <v>153</v>
      </c>
      <c r="G99" s="4" t="s">
        <v>150</v>
      </c>
      <c r="H99" s="4" t="s">
        <v>150</v>
      </c>
      <c r="O99" s="57" t="s">
        <v>289</v>
      </c>
      <c r="P99" s="58">
        <v>1</v>
      </c>
    </row>
    <row r="100" spans="1:16" s="4" customFormat="1" x14ac:dyDescent="0.25">
      <c r="A100" s="4" t="s">
        <v>290</v>
      </c>
      <c r="B100" s="4" t="s">
        <v>145</v>
      </c>
      <c r="C100" s="4" t="s">
        <v>146</v>
      </c>
      <c r="D100" s="4" t="s">
        <v>152</v>
      </c>
      <c r="E100" s="60">
        <v>42353</v>
      </c>
      <c r="F100" s="4" t="s">
        <v>153</v>
      </c>
      <c r="G100" s="4" t="s">
        <v>150</v>
      </c>
      <c r="H100" s="4" t="s">
        <v>150</v>
      </c>
      <c r="O100" s="57" t="s">
        <v>290</v>
      </c>
      <c r="P100" s="58">
        <v>1</v>
      </c>
    </row>
    <row r="101" spans="1:16" s="4" customFormat="1" x14ac:dyDescent="0.25">
      <c r="A101" s="4" t="s">
        <v>291</v>
      </c>
      <c r="B101" s="4" t="s">
        <v>145</v>
      </c>
      <c r="C101" s="4" t="s">
        <v>146</v>
      </c>
      <c r="D101" s="4" t="s">
        <v>152</v>
      </c>
      <c r="E101" s="60">
        <v>42353</v>
      </c>
      <c r="F101" s="4" t="s">
        <v>153</v>
      </c>
      <c r="G101" s="4" t="s">
        <v>150</v>
      </c>
      <c r="H101" s="4" t="s">
        <v>150</v>
      </c>
      <c r="O101" s="57" t="s">
        <v>291</v>
      </c>
      <c r="P101" s="58">
        <v>1</v>
      </c>
    </row>
    <row r="102" spans="1:16" s="4" customFormat="1" x14ac:dyDescent="0.25">
      <c r="A102" s="4" t="s">
        <v>292</v>
      </c>
      <c r="B102" s="4" t="s">
        <v>145</v>
      </c>
      <c r="C102" s="4" t="s">
        <v>146</v>
      </c>
      <c r="D102" s="4" t="s">
        <v>155</v>
      </c>
      <c r="E102" s="60">
        <v>42353</v>
      </c>
      <c r="F102" s="4" t="s">
        <v>293</v>
      </c>
      <c r="G102" s="4" t="s">
        <v>150</v>
      </c>
      <c r="H102" s="4" t="s">
        <v>128</v>
      </c>
      <c r="O102" s="57" t="s">
        <v>292</v>
      </c>
      <c r="P102" s="58">
        <v>1</v>
      </c>
    </row>
    <row r="103" spans="1:16" s="4" customFormat="1" x14ac:dyDescent="0.25">
      <c r="A103" s="4" t="s">
        <v>294</v>
      </c>
      <c r="B103" s="4" t="s">
        <v>145</v>
      </c>
      <c r="C103" s="4" t="s">
        <v>146</v>
      </c>
      <c r="D103" s="4" t="s">
        <v>152</v>
      </c>
      <c r="E103" s="60">
        <v>42353</v>
      </c>
      <c r="F103" s="4" t="s">
        <v>153</v>
      </c>
      <c r="G103" s="4" t="s">
        <v>150</v>
      </c>
      <c r="H103" s="4" t="s">
        <v>150</v>
      </c>
      <c r="O103" s="57" t="s">
        <v>294</v>
      </c>
      <c r="P103" s="58">
        <v>1</v>
      </c>
    </row>
    <row r="104" spans="1:16" s="4" customFormat="1" x14ac:dyDescent="0.25">
      <c r="A104" s="4" t="s">
        <v>295</v>
      </c>
      <c r="B104" s="4" t="s">
        <v>145</v>
      </c>
      <c r="C104" s="4" t="s">
        <v>146</v>
      </c>
      <c r="D104" s="4" t="s">
        <v>152</v>
      </c>
      <c r="E104" s="60">
        <v>42353</v>
      </c>
      <c r="F104" s="4" t="s">
        <v>153</v>
      </c>
      <c r="G104" s="4" t="s">
        <v>150</v>
      </c>
      <c r="H104" s="4" t="s">
        <v>150</v>
      </c>
      <c r="O104" s="57" t="s">
        <v>295</v>
      </c>
      <c r="P104" s="58">
        <v>1</v>
      </c>
    </row>
    <row r="105" spans="1:16" s="4" customFormat="1" x14ac:dyDescent="0.25">
      <c r="A105" s="4" t="s">
        <v>296</v>
      </c>
      <c r="B105" s="4" t="s">
        <v>145</v>
      </c>
      <c r="C105" s="4" t="s">
        <v>146</v>
      </c>
      <c r="D105" s="4" t="s">
        <v>152</v>
      </c>
      <c r="E105" s="60">
        <v>42353</v>
      </c>
      <c r="F105" s="4" t="s">
        <v>153</v>
      </c>
      <c r="G105" s="4" t="s">
        <v>150</v>
      </c>
      <c r="H105" s="4" t="s">
        <v>150</v>
      </c>
      <c r="O105" s="57" t="s">
        <v>296</v>
      </c>
      <c r="P105" s="58">
        <v>1</v>
      </c>
    </row>
    <row r="106" spans="1:16" s="4" customFormat="1" x14ac:dyDescent="0.25">
      <c r="A106" s="4" t="s">
        <v>297</v>
      </c>
      <c r="B106" s="4" t="s">
        <v>145</v>
      </c>
      <c r="C106" s="4" t="s">
        <v>146</v>
      </c>
      <c r="D106" s="4" t="s">
        <v>155</v>
      </c>
      <c r="E106" s="60">
        <v>42353</v>
      </c>
      <c r="F106" s="4" t="s">
        <v>298</v>
      </c>
      <c r="G106" s="4" t="s">
        <v>150</v>
      </c>
      <c r="H106" s="4" t="s">
        <v>150</v>
      </c>
      <c r="O106" s="57" t="s">
        <v>297</v>
      </c>
      <c r="P106" s="58">
        <v>1</v>
      </c>
    </row>
    <row r="107" spans="1:16" s="4" customFormat="1" x14ac:dyDescent="0.25">
      <c r="A107" s="4" t="s">
        <v>299</v>
      </c>
      <c r="B107" s="4" t="s">
        <v>145</v>
      </c>
      <c r="C107" s="4" t="s">
        <v>146</v>
      </c>
      <c r="D107" s="4" t="s">
        <v>152</v>
      </c>
      <c r="E107" s="60">
        <v>42353</v>
      </c>
      <c r="F107" s="4" t="s">
        <v>153</v>
      </c>
      <c r="G107" s="4" t="s">
        <v>150</v>
      </c>
      <c r="H107" s="4" t="s">
        <v>150</v>
      </c>
      <c r="O107" s="57" t="s">
        <v>299</v>
      </c>
      <c r="P107" s="58">
        <v>1</v>
      </c>
    </row>
    <row r="108" spans="1:16" s="4" customFormat="1" x14ac:dyDescent="0.25">
      <c r="A108" s="4" t="s">
        <v>300</v>
      </c>
      <c r="B108" s="4" t="s">
        <v>145</v>
      </c>
      <c r="C108" s="4" t="s">
        <v>146</v>
      </c>
      <c r="D108" s="4" t="s">
        <v>147</v>
      </c>
      <c r="E108" s="60">
        <v>42353</v>
      </c>
      <c r="F108" s="4" t="s">
        <v>301</v>
      </c>
      <c r="G108" s="4" t="s">
        <v>149</v>
      </c>
      <c r="H108" s="4" t="s">
        <v>124</v>
      </c>
      <c r="O108" s="57" t="s">
        <v>300</v>
      </c>
      <c r="P108" s="58">
        <v>1</v>
      </c>
    </row>
    <row r="109" spans="1:16" s="4" customFormat="1" x14ac:dyDescent="0.25">
      <c r="A109" s="4" t="s">
        <v>302</v>
      </c>
      <c r="B109" s="4" t="s">
        <v>145</v>
      </c>
      <c r="C109" s="4" t="s">
        <v>146</v>
      </c>
      <c r="D109" s="4" t="s">
        <v>155</v>
      </c>
      <c r="E109" s="60">
        <v>42353</v>
      </c>
      <c r="F109" s="4" t="s">
        <v>303</v>
      </c>
      <c r="G109" s="4" t="s">
        <v>150</v>
      </c>
      <c r="H109" s="4" t="s">
        <v>150</v>
      </c>
      <c r="O109" s="57" t="s">
        <v>302</v>
      </c>
      <c r="P109" s="58">
        <v>1</v>
      </c>
    </row>
    <row r="110" spans="1:16" s="4" customFormat="1" x14ac:dyDescent="0.25">
      <c r="A110" s="4" t="s">
        <v>304</v>
      </c>
      <c r="B110" s="4" t="s">
        <v>145</v>
      </c>
      <c r="C110" s="4" t="s">
        <v>146</v>
      </c>
      <c r="D110" s="4" t="s">
        <v>155</v>
      </c>
      <c r="E110" s="60">
        <v>42353</v>
      </c>
      <c r="F110" s="4" t="s">
        <v>222</v>
      </c>
      <c r="G110" s="4" t="s">
        <v>150</v>
      </c>
      <c r="H110" s="4" t="s">
        <v>150</v>
      </c>
      <c r="O110" s="57" t="s">
        <v>304</v>
      </c>
      <c r="P110" s="58">
        <v>1</v>
      </c>
    </row>
    <row r="111" spans="1:16" s="4" customFormat="1" x14ac:dyDescent="0.25">
      <c r="A111" s="4" t="s">
        <v>305</v>
      </c>
      <c r="B111" s="4" t="s">
        <v>145</v>
      </c>
      <c r="C111" s="4" t="s">
        <v>146</v>
      </c>
      <c r="D111" s="4" t="s">
        <v>147</v>
      </c>
      <c r="E111" s="60">
        <v>42353</v>
      </c>
      <c r="F111" s="4" t="s">
        <v>306</v>
      </c>
      <c r="G111" s="4" t="s">
        <v>149</v>
      </c>
      <c r="H111" s="4" t="s">
        <v>125</v>
      </c>
      <c r="O111" s="57" t="s">
        <v>305</v>
      </c>
      <c r="P111" s="58">
        <v>1</v>
      </c>
    </row>
    <row r="112" spans="1:16" s="4" customFormat="1" x14ac:dyDescent="0.25">
      <c r="A112" s="4" t="s">
        <v>307</v>
      </c>
      <c r="B112" s="4" t="s">
        <v>145</v>
      </c>
      <c r="C112" s="4" t="s">
        <v>146</v>
      </c>
      <c r="D112" s="4" t="s">
        <v>152</v>
      </c>
      <c r="E112" s="60">
        <v>42353</v>
      </c>
      <c r="F112" s="4" t="s">
        <v>153</v>
      </c>
      <c r="G112" s="4" t="s">
        <v>150</v>
      </c>
      <c r="H112" s="4" t="s">
        <v>150</v>
      </c>
      <c r="O112" s="57" t="s">
        <v>307</v>
      </c>
      <c r="P112" s="58">
        <v>1</v>
      </c>
    </row>
    <row r="113" spans="1:16" s="4" customFormat="1" x14ac:dyDescent="0.25">
      <c r="A113" s="4" t="s">
        <v>308</v>
      </c>
      <c r="B113" s="4" t="s">
        <v>145</v>
      </c>
      <c r="C113" s="4" t="s">
        <v>146</v>
      </c>
      <c r="D113" s="4" t="s">
        <v>155</v>
      </c>
      <c r="E113" s="60">
        <v>42353</v>
      </c>
      <c r="F113" s="4" t="s">
        <v>199</v>
      </c>
      <c r="G113" s="4" t="s">
        <v>150</v>
      </c>
      <c r="H113" s="4" t="s">
        <v>309</v>
      </c>
      <c r="O113" s="57" t="s">
        <v>308</v>
      </c>
      <c r="P113" s="58">
        <v>1</v>
      </c>
    </row>
    <row r="114" spans="1:16" s="4" customFormat="1" x14ac:dyDescent="0.25">
      <c r="A114" s="4" t="s">
        <v>310</v>
      </c>
      <c r="B114" s="4" t="s">
        <v>145</v>
      </c>
      <c r="C114" s="4" t="s">
        <v>146</v>
      </c>
      <c r="D114" s="4" t="s">
        <v>152</v>
      </c>
      <c r="E114" s="60">
        <v>42353</v>
      </c>
      <c r="F114" s="4" t="s">
        <v>153</v>
      </c>
      <c r="G114" s="4" t="s">
        <v>150</v>
      </c>
      <c r="H114" s="4" t="s">
        <v>150</v>
      </c>
      <c r="O114" s="57" t="s">
        <v>310</v>
      </c>
      <c r="P114" s="58">
        <v>1</v>
      </c>
    </row>
    <row r="115" spans="1:16" s="4" customFormat="1" x14ac:dyDescent="0.25">
      <c r="A115" s="4" t="s">
        <v>311</v>
      </c>
      <c r="B115" s="4" t="s">
        <v>145</v>
      </c>
      <c r="C115" s="4" t="s">
        <v>146</v>
      </c>
      <c r="D115" s="4" t="s">
        <v>152</v>
      </c>
      <c r="E115" s="60">
        <v>42353</v>
      </c>
      <c r="F115" s="4" t="s">
        <v>153</v>
      </c>
      <c r="G115" s="4" t="s">
        <v>150</v>
      </c>
      <c r="H115" s="4" t="s">
        <v>150</v>
      </c>
      <c r="O115" s="57" t="s">
        <v>311</v>
      </c>
      <c r="P115" s="58">
        <v>1</v>
      </c>
    </row>
    <row r="116" spans="1:16" s="4" customFormat="1" x14ac:dyDescent="0.25">
      <c r="A116" s="4" t="s">
        <v>312</v>
      </c>
      <c r="B116" s="4" t="s">
        <v>145</v>
      </c>
      <c r="C116" s="4" t="s">
        <v>146</v>
      </c>
      <c r="D116" s="4" t="s">
        <v>152</v>
      </c>
      <c r="E116" s="60">
        <v>42354</v>
      </c>
      <c r="F116" s="4" t="s">
        <v>153</v>
      </c>
      <c r="G116" s="4" t="s">
        <v>150</v>
      </c>
      <c r="H116" s="4" t="s">
        <v>150</v>
      </c>
      <c r="O116" s="57" t="s">
        <v>312</v>
      </c>
      <c r="P116" s="58">
        <v>1</v>
      </c>
    </row>
    <row r="117" spans="1:16" s="4" customFormat="1" x14ac:dyDescent="0.25">
      <c r="A117" s="4" t="s">
        <v>313</v>
      </c>
      <c r="B117" s="4" t="s">
        <v>145</v>
      </c>
      <c r="C117" s="4" t="s">
        <v>146</v>
      </c>
      <c r="D117" s="4" t="s">
        <v>147</v>
      </c>
      <c r="E117" s="60">
        <v>42354</v>
      </c>
      <c r="F117" s="4" t="s">
        <v>314</v>
      </c>
      <c r="G117" s="4" t="s">
        <v>149</v>
      </c>
      <c r="H117" s="4" t="s">
        <v>150</v>
      </c>
      <c r="O117" s="57" t="s">
        <v>313</v>
      </c>
      <c r="P117" s="58">
        <v>1</v>
      </c>
    </row>
    <row r="118" spans="1:16" s="4" customFormat="1" x14ac:dyDescent="0.25">
      <c r="A118" s="4" t="s">
        <v>315</v>
      </c>
      <c r="B118" s="4" t="s">
        <v>145</v>
      </c>
      <c r="C118" s="4" t="s">
        <v>146</v>
      </c>
      <c r="D118" s="4" t="s">
        <v>152</v>
      </c>
      <c r="E118" s="60">
        <v>42354</v>
      </c>
      <c r="F118" s="4" t="s">
        <v>153</v>
      </c>
      <c r="G118" s="4" t="s">
        <v>150</v>
      </c>
      <c r="H118" s="4" t="s">
        <v>150</v>
      </c>
      <c r="O118" s="57" t="s">
        <v>315</v>
      </c>
      <c r="P118" s="58">
        <v>1</v>
      </c>
    </row>
    <row r="119" spans="1:16" s="4" customFormat="1" x14ac:dyDescent="0.25">
      <c r="A119" s="4" t="s">
        <v>316</v>
      </c>
      <c r="B119" s="4" t="s">
        <v>145</v>
      </c>
      <c r="C119" s="4" t="s">
        <v>146</v>
      </c>
      <c r="D119" s="4" t="s">
        <v>155</v>
      </c>
      <c r="E119" s="60">
        <v>42354</v>
      </c>
      <c r="F119" s="4" t="s">
        <v>287</v>
      </c>
      <c r="G119" s="4" t="s">
        <v>150</v>
      </c>
      <c r="H119" s="4" t="s">
        <v>131</v>
      </c>
      <c r="O119" s="57" t="s">
        <v>316</v>
      </c>
      <c r="P119" s="58">
        <v>1</v>
      </c>
    </row>
    <row r="120" spans="1:16" s="4" customFormat="1" x14ac:dyDescent="0.25">
      <c r="A120" s="4" t="s">
        <v>317</v>
      </c>
      <c r="B120" s="4" t="s">
        <v>145</v>
      </c>
      <c r="C120" s="4" t="s">
        <v>146</v>
      </c>
      <c r="D120" s="4" t="s">
        <v>152</v>
      </c>
      <c r="E120" s="60">
        <v>42354</v>
      </c>
      <c r="F120" s="4" t="s">
        <v>153</v>
      </c>
      <c r="G120" s="4" t="s">
        <v>150</v>
      </c>
      <c r="H120" s="4" t="s">
        <v>150</v>
      </c>
      <c r="O120" s="57" t="s">
        <v>317</v>
      </c>
      <c r="P120" s="58">
        <v>1</v>
      </c>
    </row>
    <row r="121" spans="1:16" s="4" customFormat="1" x14ac:dyDescent="0.25">
      <c r="A121" s="4" t="s">
        <v>318</v>
      </c>
      <c r="B121" s="4" t="s">
        <v>145</v>
      </c>
      <c r="C121" s="4" t="s">
        <v>146</v>
      </c>
      <c r="D121" s="4" t="s">
        <v>152</v>
      </c>
      <c r="E121" s="60">
        <v>42354</v>
      </c>
      <c r="F121" s="4" t="s">
        <v>153</v>
      </c>
      <c r="G121" s="4" t="s">
        <v>150</v>
      </c>
      <c r="H121" s="4" t="s">
        <v>150</v>
      </c>
      <c r="O121" s="57" t="s">
        <v>318</v>
      </c>
      <c r="P121" s="58">
        <v>1</v>
      </c>
    </row>
    <row r="122" spans="1:16" s="4" customFormat="1" x14ac:dyDescent="0.25">
      <c r="A122" s="4" t="s">
        <v>319</v>
      </c>
      <c r="B122" s="4" t="s">
        <v>145</v>
      </c>
      <c r="C122" s="4" t="s">
        <v>146</v>
      </c>
      <c r="D122" s="4" t="s">
        <v>152</v>
      </c>
      <c r="E122" s="60">
        <v>42354</v>
      </c>
      <c r="F122" s="4" t="s">
        <v>153</v>
      </c>
      <c r="G122" s="4" t="s">
        <v>150</v>
      </c>
      <c r="H122" s="4" t="s">
        <v>150</v>
      </c>
      <c r="O122" s="57" t="s">
        <v>319</v>
      </c>
      <c r="P122" s="58">
        <v>1</v>
      </c>
    </row>
    <row r="123" spans="1:16" s="4" customFormat="1" x14ac:dyDescent="0.25">
      <c r="A123" s="4" t="s">
        <v>320</v>
      </c>
      <c r="B123" s="4" t="s">
        <v>145</v>
      </c>
      <c r="C123" s="4" t="s">
        <v>146</v>
      </c>
      <c r="D123" s="4" t="s">
        <v>152</v>
      </c>
      <c r="E123" s="60">
        <v>42354</v>
      </c>
      <c r="F123" s="4" t="s">
        <v>153</v>
      </c>
      <c r="G123" s="4" t="s">
        <v>150</v>
      </c>
      <c r="H123" s="4" t="s">
        <v>150</v>
      </c>
      <c r="O123" s="57" t="s">
        <v>320</v>
      </c>
      <c r="P123" s="58">
        <v>1</v>
      </c>
    </row>
    <row r="124" spans="1:16" s="4" customFormat="1" x14ac:dyDescent="0.25">
      <c r="A124" s="4" t="s">
        <v>321</v>
      </c>
      <c r="B124" s="4" t="s">
        <v>145</v>
      </c>
      <c r="C124" s="4" t="s">
        <v>146</v>
      </c>
      <c r="D124" s="4" t="s">
        <v>152</v>
      </c>
      <c r="E124" s="60">
        <v>42354</v>
      </c>
      <c r="F124" s="4" t="s">
        <v>153</v>
      </c>
      <c r="G124" s="4" t="s">
        <v>150</v>
      </c>
      <c r="H124" s="4" t="s">
        <v>150</v>
      </c>
      <c r="O124" s="57" t="s">
        <v>321</v>
      </c>
      <c r="P124" s="58">
        <v>1</v>
      </c>
    </row>
    <row r="125" spans="1:16" s="4" customFormat="1" x14ac:dyDescent="0.25">
      <c r="A125" s="4" t="s">
        <v>322</v>
      </c>
      <c r="B125" s="4" t="s">
        <v>145</v>
      </c>
      <c r="C125" s="4" t="s">
        <v>146</v>
      </c>
      <c r="D125" s="4" t="s">
        <v>152</v>
      </c>
      <c r="E125" s="60">
        <v>42354</v>
      </c>
      <c r="F125" s="4" t="s">
        <v>153</v>
      </c>
      <c r="G125" s="4" t="s">
        <v>150</v>
      </c>
      <c r="H125" s="4" t="s">
        <v>150</v>
      </c>
      <c r="O125" s="57" t="s">
        <v>322</v>
      </c>
      <c r="P125" s="58">
        <v>1</v>
      </c>
    </row>
    <row r="126" spans="1:16" s="4" customFormat="1" x14ac:dyDescent="0.25">
      <c r="A126" s="4" t="s">
        <v>323</v>
      </c>
      <c r="B126" s="4" t="s">
        <v>145</v>
      </c>
      <c r="C126" s="4" t="s">
        <v>146</v>
      </c>
      <c r="D126" s="4" t="s">
        <v>152</v>
      </c>
      <c r="E126" s="60">
        <v>42354</v>
      </c>
      <c r="F126" s="4" t="s">
        <v>153</v>
      </c>
      <c r="G126" s="4" t="s">
        <v>150</v>
      </c>
      <c r="H126" s="4" t="s">
        <v>150</v>
      </c>
      <c r="O126" s="57" t="s">
        <v>323</v>
      </c>
      <c r="P126" s="58">
        <v>1</v>
      </c>
    </row>
    <row r="127" spans="1:16" s="4" customFormat="1" x14ac:dyDescent="0.25">
      <c r="A127" s="4" t="s">
        <v>324</v>
      </c>
      <c r="B127" s="4" t="s">
        <v>145</v>
      </c>
      <c r="C127" s="4" t="s">
        <v>146</v>
      </c>
      <c r="D127" s="4" t="s">
        <v>152</v>
      </c>
      <c r="E127" s="60">
        <v>42354</v>
      </c>
      <c r="F127" s="4" t="s">
        <v>153</v>
      </c>
      <c r="G127" s="4" t="s">
        <v>150</v>
      </c>
      <c r="H127" s="4" t="s">
        <v>150</v>
      </c>
      <c r="O127" s="57" t="s">
        <v>324</v>
      </c>
      <c r="P127" s="58">
        <v>1</v>
      </c>
    </row>
    <row r="128" spans="1:16" s="4" customFormat="1" x14ac:dyDescent="0.25">
      <c r="A128" s="4" t="s">
        <v>325</v>
      </c>
      <c r="B128" s="4" t="s">
        <v>145</v>
      </c>
      <c r="C128" s="4" t="s">
        <v>146</v>
      </c>
      <c r="D128" s="4" t="s">
        <v>152</v>
      </c>
      <c r="E128" s="60">
        <v>42354</v>
      </c>
      <c r="F128" s="4" t="s">
        <v>153</v>
      </c>
      <c r="G128" s="4" t="s">
        <v>150</v>
      </c>
      <c r="H128" s="4" t="s">
        <v>150</v>
      </c>
      <c r="O128" s="57" t="s">
        <v>325</v>
      </c>
      <c r="P128" s="58">
        <v>1</v>
      </c>
    </row>
    <row r="129" spans="1:16" s="4" customFormat="1" x14ac:dyDescent="0.25">
      <c r="A129" s="4" t="s">
        <v>326</v>
      </c>
      <c r="B129" s="4" t="s">
        <v>145</v>
      </c>
      <c r="C129" s="4" t="s">
        <v>146</v>
      </c>
      <c r="D129" s="4" t="s">
        <v>152</v>
      </c>
      <c r="E129" s="60">
        <v>42354</v>
      </c>
      <c r="F129" s="4" t="s">
        <v>153</v>
      </c>
      <c r="G129" s="4" t="s">
        <v>150</v>
      </c>
      <c r="H129" s="4" t="s">
        <v>150</v>
      </c>
      <c r="O129" s="57" t="s">
        <v>326</v>
      </c>
      <c r="P129" s="58">
        <v>1</v>
      </c>
    </row>
    <row r="130" spans="1:16" s="4" customFormat="1" x14ac:dyDescent="0.25">
      <c r="A130" s="4" t="s">
        <v>327</v>
      </c>
      <c r="B130" s="4" t="s">
        <v>145</v>
      </c>
      <c r="C130" s="4" t="s">
        <v>146</v>
      </c>
      <c r="D130" s="4" t="s">
        <v>152</v>
      </c>
      <c r="E130" s="60">
        <v>42354</v>
      </c>
      <c r="F130" s="4" t="s">
        <v>153</v>
      </c>
      <c r="G130" s="4" t="s">
        <v>150</v>
      </c>
      <c r="H130" s="4" t="s">
        <v>150</v>
      </c>
      <c r="O130" s="57" t="s">
        <v>327</v>
      </c>
      <c r="P130" s="58">
        <v>1</v>
      </c>
    </row>
    <row r="131" spans="1:16" s="4" customFormat="1" x14ac:dyDescent="0.25">
      <c r="A131" s="4" t="s">
        <v>328</v>
      </c>
      <c r="B131" s="4" t="s">
        <v>145</v>
      </c>
      <c r="C131" s="4" t="s">
        <v>146</v>
      </c>
      <c r="D131" s="4" t="s">
        <v>152</v>
      </c>
      <c r="E131" s="60">
        <v>42354</v>
      </c>
      <c r="F131" s="4" t="s">
        <v>153</v>
      </c>
      <c r="G131" s="4" t="s">
        <v>150</v>
      </c>
      <c r="H131" s="4" t="s">
        <v>150</v>
      </c>
      <c r="O131" s="57" t="s">
        <v>328</v>
      </c>
      <c r="P131" s="58">
        <v>1</v>
      </c>
    </row>
    <row r="132" spans="1:16" s="4" customFormat="1" x14ac:dyDescent="0.25">
      <c r="A132" s="4" t="s">
        <v>329</v>
      </c>
      <c r="B132" s="4" t="s">
        <v>145</v>
      </c>
      <c r="C132" s="4" t="s">
        <v>146</v>
      </c>
      <c r="D132" s="4" t="s">
        <v>152</v>
      </c>
      <c r="E132" s="60">
        <v>42354</v>
      </c>
      <c r="F132" s="4" t="s">
        <v>153</v>
      </c>
      <c r="G132" s="4" t="s">
        <v>150</v>
      </c>
      <c r="H132" s="4" t="s">
        <v>150</v>
      </c>
      <c r="O132" s="57" t="s">
        <v>329</v>
      </c>
      <c r="P132" s="58">
        <v>1</v>
      </c>
    </row>
    <row r="133" spans="1:16" s="4" customFormat="1" x14ac:dyDescent="0.25">
      <c r="A133" s="4" t="s">
        <v>330</v>
      </c>
      <c r="B133" s="4" t="s">
        <v>145</v>
      </c>
      <c r="C133" s="4" t="s">
        <v>146</v>
      </c>
      <c r="D133" s="4" t="s">
        <v>147</v>
      </c>
      <c r="E133" s="60">
        <v>42354</v>
      </c>
      <c r="F133" s="4" t="s">
        <v>185</v>
      </c>
      <c r="G133" s="4" t="s">
        <v>149</v>
      </c>
      <c r="H133" s="4" t="s">
        <v>150</v>
      </c>
      <c r="O133" s="57" t="s">
        <v>330</v>
      </c>
      <c r="P133" s="58">
        <v>1</v>
      </c>
    </row>
    <row r="134" spans="1:16" s="4" customFormat="1" x14ac:dyDescent="0.25">
      <c r="A134" s="4" t="s">
        <v>331</v>
      </c>
      <c r="B134" s="4" t="s">
        <v>145</v>
      </c>
      <c r="C134" s="4" t="s">
        <v>146</v>
      </c>
      <c r="D134" s="4" t="s">
        <v>152</v>
      </c>
      <c r="E134" s="60">
        <v>42354</v>
      </c>
      <c r="F134" s="4" t="s">
        <v>153</v>
      </c>
      <c r="G134" s="4" t="s">
        <v>150</v>
      </c>
      <c r="H134" s="4" t="s">
        <v>150</v>
      </c>
      <c r="O134" s="57" t="s">
        <v>331</v>
      </c>
      <c r="P134" s="58">
        <v>1</v>
      </c>
    </row>
    <row r="135" spans="1:16" s="4" customFormat="1" x14ac:dyDescent="0.25">
      <c r="A135" s="4" t="s">
        <v>332</v>
      </c>
      <c r="B135" s="4" t="s">
        <v>145</v>
      </c>
      <c r="C135" s="4" t="s">
        <v>146</v>
      </c>
      <c r="D135" s="4" t="s">
        <v>152</v>
      </c>
      <c r="E135" s="60">
        <v>42354</v>
      </c>
      <c r="F135" s="4" t="s">
        <v>153</v>
      </c>
      <c r="G135" s="4" t="s">
        <v>150</v>
      </c>
      <c r="H135" s="4" t="s">
        <v>150</v>
      </c>
      <c r="O135" s="57" t="s">
        <v>332</v>
      </c>
      <c r="P135" s="58">
        <v>1</v>
      </c>
    </row>
    <row r="136" spans="1:16" s="4" customFormat="1" x14ac:dyDescent="0.25">
      <c r="A136" s="4" t="s">
        <v>333</v>
      </c>
      <c r="B136" s="4" t="s">
        <v>145</v>
      </c>
      <c r="C136" s="4" t="s">
        <v>146</v>
      </c>
      <c r="D136" s="4" t="s">
        <v>155</v>
      </c>
      <c r="E136" s="60">
        <v>42354</v>
      </c>
      <c r="F136" s="4" t="s">
        <v>334</v>
      </c>
      <c r="G136" s="4" t="s">
        <v>150</v>
      </c>
      <c r="H136" s="4" t="s">
        <v>150</v>
      </c>
      <c r="O136" s="57" t="s">
        <v>333</v>
      </c>
      <c r="P136" s="58">
        <v>1</v>
      </c>
    </row>
    <row r="137" spans="1:16" s="4" customFormat="1" x14ac:dyDescent="0.25">
      <c r="A137" s="4" t="s">
        <v>335</v>
      </c>
      <c r="B137" s="4" t="s">
        <v>145</v>
      </c>
      <c r="C137" s="4" t="s">
        <v>146</v>
      </c>
      <c r="D137" s="4" t="s">
        <v>147</v>
      </c>
      <c r="E137" s="60">
        <v>42354</v>
      </c>
      <c r="F137" s="4" t="s">
        <v>185</v>
      </c>
      <c r="G137" s="4" t="s">
        <v>149</v>
      </c>
      <c r="H137" s="4" t="s">
        <v>126</v>
      </c>
      <c r="O137" s="57" t="s">
        <v>335</v>
      </c>
      <c r="P137" s="58">
        <v>1</v>
      </c>
    </row>
    <row r="138" spans="1:16" s="4" customFormat="1" x14ac:dyDescent="0.25">
      <c r="A138" s="4" t="s">
        <v>336</v>
      </c>
      <c r="B138" s="4" t="s">
        <v>145</v>
      </c>
      <c r="C138" s="4" t="s">
        <v>146</v>
      </c>
      <c r="D138" s="4" t="s">
        <v>147</v>
      </c>
      <c r="E138" s="60">
        <v>42354</v>
      </c>
      <c r="F138" s="4" t="s">
        <v>337</v>
      </c>
      <c r="G138" s="4" t="s">
        <v>149</v>
      </c>
      <c r="H138" s="4" t="s">
        <v>338</v>
      </c>
      <c r="O138" s="57" t="s">
        <v>336</v>
      </c>
      <c r="P138" s="58">
        <v>1</v>
      </c>
    </row>
    <row r="139" spans="1:16" s="4" customFormat="1" x14ac:dyDescent="0.25">
      <c r="A139" s="4" t="s">
        <v>339</v>
      </c>
      <c r="B139" s="4" t="s">
        <v>145</v>
      </c>
      <c r="C139" s="4" t="s">
        <v>146</v>
      </c>
      <c r="D139" s="4" t="s">
        <v>155</v>
      </c>
      <c r="E139" s="60">
        <v>42354</v>
      </c>
      <c r="F139" s="4" t="s">
        <v>199</v>
      </c>
      <c r="G139" s="4" t="s">
        <v>150</v>
      </c>
      <c r="H139" s="4" t="s">
        <v>150</v>
      </c>
      <c r="O139" s="57" t="s">
        <v>339</v>
      </c>
      <c r="P139" s="58">
        <v>1</v>
      </c>
    </row>
    <row r="140" spans="1:16" s="4" customFormat="1" x14ac:dyDescent="0.25">
      <c r="A140" s="4" t="s">
        <v>340</v>
      </c>
      <c r="B140" s="4" t="s">
        <v>145</v>
      </c>
      <c r="C140" s="4" t="s">
        <v>146</v>
      </c>
      <c r="D140" s="4" t="s">
        <v>147</v>
      </c>
      <c r="E140" s="60">
        <v>42354</v>
      </c>
      <c r="F140" s="4" t="s">
        <v>277</v>
      </c>
      <c r="G140" s="4" t="s">
        <v>149</v>
      </c>
      <c r="H140" s="4" t="s">
        <v>341</v>
      </c>
      <c r="O140" s="57" t="s">
        <v>340</v>
      </c>
      <c r="P140" s="58">
        <v>1</v>
      </c>
    </row>
    <row r="141" spans="1:16" s="4" customFormat="1" x14ac:dyDescent="0.25">
      <c r="A141" s="4" t="s">
        <v>342</v>
      </c>
      <c r="B141" s="4" t="s">
        <v>145</v>
      </c>
      <c r="C141" s="4" t="s">
        <v>146</v>
      </c>
      <c r="D141" s="4" t="s">
        <v>155</v>
      </c>
      <c r="E141" s="60">
        <v>42354</v>
      </c>
      <c r="F141" s="4" t="s">
        <v>199</v>
      </c>
      <c r="G141" s="4" t="s">
        <v>150</v>
      </c>
      <c r="H141" s="4" t="s">
        <v>150</v>
      </c>
      <c r="O141" s="57" t="s">
        <v>342</v>
      </c>
      <c r="P141" s="58">
        <v>1</v>
      </c>
    </row>
    <row r="142" spans="1:16" s="4" customFormat="1" x14ac:dyDescent="0.25">
      <c r="A142" s="4" t="s">
        <v>343</v>
      </c>
      <c r="B142" s="4" t="s">
        <v>145</v>
      </c>
      <c r="C142" s="4" t="s">
        <v>146</v>
      </c>
      <c r="D142" s="4" t="s">
        <v>152</v>
      </c>
      <c r="E142" s="60">
        <v>42354</v>
      </c>
      <c r="F142" s="4" t="s">
        <v>153</v>
      </c>
      <c r="G142" s="4" t="s">
        <v>150</v>
      </c>
      <c r="H142" s="4" t="s">
        <v>150</v>
      </c>
      <c r="O142" s="57" t="s">
        <v>343</v>
      </c>
      <c r="P142" s="58">
        <v>1</v>
      </c>
    </row>
    <row r="143" spans="1:16" s="4" customFormat="1" x14ac:dyDescent="0.25">
      <c r="A143" s="4" t="s">
        <v>344</v>
      </c>
      <c r="B143" s="4" t="s">
        <v>145</v>
      </c>
      <c r="C143" s="4" t="s">
        <v>146</v>
      </c>
      <c r="D143" s="4" t="s">
        <v>152</v>
      </c>
      <c r="E143" s="60">
        <v>42354</v>
      </c>
      <c r="F143" s="4" t="s">
        <v>267</v>
      </c>
      <c r="G143" s="4" t="s">
        <v>150</v>
      </c>
      <c r="H143" s="4" t="s">
        <v>150</v>
      </c>
      <c r="O143" s="57" t="s">
        <v>344</v>
      </c>
      <c r="P143" s="58">
        <v>1</v>
      </c>
    </row>
    <row r="144" spans="1:16" s="4" customFormat="1" x14ac:dyDescent="0.25">
      <c r="A144" s="4" t="s">
        <v>345</v>
      </c>
      <c r="B144" s="4" t="s">
        <v>145</v>
      </c>
      <c r="C144" s="4" t="s">
        <v>146</v>
      </c>
      <c r="D144" s="4" t="s">
        <v>152</v>
      </c>
      <c r="E144" s="60">
        <v>42354</v>
      </c>
      <c r="F144" s="4" t="s">
        <v>267</v>
      </c>
      <c r="G144" s="4" t="s">
        <v>150</v>
      </c>
      <c r="H144" s="4" t="s">
        <v>115</v>
      </c>
      <c r="O144" s="57" t="s">
        <v>345</v>
      </c>
      <c r="P144" s="58">
        <v>1</v>
      </c>
    </row>
    <row r="145" spans="1:16" s="4" customFormat="1" x14ac:dyDescent="0.25">
      <c r="A145" s="4" t="s">
        <v>346</v>
      </c>
      <c r="B145" s="4" t="s">
        <v>145</v>
      </c>
      <c r="C145" s="4" t="s">
        <v>146</v>
      </c>
      <c r="D145" s="4" t="s">
        <v>152</v>
      </c>
      <c r="E145" s="60">
        <v>42354</v>
      </c>
      <c r="F145" s="4" t="s">
        <v>267</v>
      </c>
      <c r="G145" s="4" t="s">
        <v>150</v>
      </c>
      <c r="H145" s="4" t="s">
        <v>130</v>
      </c>
      <c r="O145" s="57" t="s">
        <v>346</v>
      </c>
      <c r="P145" s="58">
        <v>1</v>
      </c>
    </row>
    <row r="146" spans="1:16" s="4" customFormat="1" x14ac:dyDescent="0.25">
      <c r="A146" s="4" t="s">
        <v>347</v>
      </c>
      <c r="B146" s="4" t="s">
        <v>145</v>
      </c>
      <c r="C146" s="4" t="s">
        <v>146</v>
      </c>
      <c r="D146" s="4" t="s">
        <v>152</v>
      </c>
      <c r="E146" s="60">
        <v>42354</v>
      </c>
      <c r="F146" s="4" t="s">
        <v>267</v>
      </c>
      <c r="G146" s="4" t="s">
        <v>150</v>
      </c>
      <c r="H146" s="4" t="s">
        <v>122</v>
      </c>
      <c r="O146" s="57" t="s">
        <v>347</v>
      </c>
      <c r="P146" s="58">
        <v>2</v>
      </c>
    </row>
    <row r="147" spans="1:16" s="4" customFormat="1" x14ac:dyDescent="0.25">
      <c r="A147" s="4" t="s">
        <v>347</v>
      </c>
      <c r="B147" s="4" t="s">
        <v>145</v>
      </c>
      <c r="C147" s="4" t="s">
        <v>146</v>
      </c>
      <c r="D147" s="4" t="s">
        <v>152</v>
      </c>
      <c r="E147" s="60">
        <v>42354</v>
      </c>
      <c r="F147" s="4" t="s">
        <v>267</v>
      </c>
      <c r="G147" s="4" t="s">
        <v>150</v>
      </c>
      <c r="H147" s="4" t="s">
        <v>120</v>
      </c>
      <c r="O147" s="57" t="s">
        <v>348</v>
      </c>
      <c r="P147" s="58">
        <v>2</v>
      </c>
    </row>
    <row r="148" spans="1:16" s="4" customFormat="1" x14ac:dyDescent="0.25">
      <c r="A148" s="4" t="s">
        <v>348</v>
      </c>
      <c r="B148" s="4" t="s">
        <v>145</v>
      </c>
      <c r="C148" s="4" t="s">
        <v>146</v>
      </c>
      <c r="D148" s="4" t="s">
        <v>152</v>
      </c>
      <c r="E148" s="60">
        <v>42354</v>
      </c>
      <c r="F148" s="4" t="s">
        <v>267</v>
      </c>
      <c r="G148" s="4" t="s">
        <v>150</v>
      </c>
      <c r="H148" s="4" t="s">
        <v>120</v>
      </c>
      <c r="O148" s="57" t="s">
        <v>349</v>
      </c>
      <c r="P148" s="58">
        <v>1</v>
      </c>
    </row>
    <row r="149" spans="1:16" s="4" customFormat="1" x14ac:dyDescent="0.25">
      <c r="A149" s="4" t="s">
        <v>348</v>
      </c>
      <c r="B149" s="4" t="s">
        <v>145</v>
      </c>
      <c r="C149" s="4" t="s">
        <v>146</v>
      </c>
      <c r="D149" s="4" t="s">
        <v>152</v>
      </c>
      <c r="E149" s="60">
        <v>42354</v>
      </c>
      <c r="F149" s="4" t="s">
        <v>267</v>
      </c>
      <c r="G149" s="4" t="s">
        <v>150</v>
      </c>
      <c r="H149" s="4" t="s">
        <v>126</v>
      </c>
      <c r="O149" s="57" t="s">
        <v>350</v>
      </c>
      <c r="P149" s="58">
        <v>1</v>
      </c>
    </row>
    <row r="150" spans="1:16" s="4" customFormat="1" x14ac:dyDescent="0.25">
      <c r="A150" s="4" t="s">
        <v>349</v>
      </c>
      <c r="B150" s="4" t="s">
        <v>145</v>
      </c>
      <c r="C150" s="4" t="s">
        <v>146</v>
      </c>
      <c r="D150" s="4" t="s">
        <v>152</v>
      </c>
      <c r="E150" s="60">
        <v>42354</v>
      </c>
      <c r="F150" s="4" t="s">
        <v>267</v>
      </c>
      <c r="G150" s="4" t="s">
        <v>150</v>
      </c>
      <c r="H150" s="4" t="s">
        <v>150</v>
      </c>
      <c r="O150" s="57" t="s">
        <v>351</v>
      </c>
      <c r="P150" s="58">
        <v>1</v>
      </c>
    </row>
    <row r="151" spans="1:16" s="4" customFormat="1" x14ac:dyDescent="0.25">
      <c r="A151" s="4" t="s">
        <v>350</v>
      </c>
      <c r="B151" s="4" t="s">
        <v>145</v>
      </c>
      <c r="C151" s="4" t="s">
        <v>146</v>
      </c>
      <c r="D151" s="4" t="s">
        <v>155</v>
      </c>
      <c r="E151" s="60">
        <v>42354</v>
      </c>
      <c r="F151" s="4" t="s">
        <v>156</v>
      </c>
      <c r="G151" s="4" t="s">
        <v>150</v>
      </c>
      <c r="H151" s="4" t="s">
        <v>117</v>
      </c>
      <c r="O151" s="57" t="s">
        <v>353</v>
      </c>
      <c r="P151" s="58">
        <v>1</v>
      </c>
    </row>
    <row r="152" spans="1:16" s="4" customFormat="1" x14ac:dyDescent="0.25">
      <c r="A152" s="4" t="s">
        <v>351</v>
      </c>
      <c r="B152" s="4" t="s">
        <v>145</v>
      </c>
      <c r="C152" s="4" t="s">
        <v>146</v>
      </c>
      <c r="D152" s="4" t="s">
        <v>155</v>
      </c>
      <c r="E152" s="60">
        <v>42354</v>
      </c>
      <c r="F152" s="4" t="s">
        <v>352</v>
      </c>
      <c r="G152" s="4" t="s">
        <v>150</v>
      </c>
      <c r="H152" s="4" t="s">
        <v>150</v>
      </c>
      <c r="O152" s="57" t="s">
        <v>354</v>
      </c>
      <c r="P152" s="58">
        <v>1</v>
      </c>
    </row>
    <row r="153" spans="1:16" s="4" customFormat="1" x14ac:dyDescent="0.25">
      <c r="A153" s="4" t="s">
        <v>353</v>
      </c>
      <c r="B153" s="4" t="s">
        <v>145</v>
      </c>
      <c r="C153" s="4" t="s">
        <v>146</v>
      </c>
      <c r="D153" s="4" t="s">
        <v>155</v>
      </c>
      <c r="E153" s="60">
        <v>42354</v>
      </c>
      <c r="F153" s="4" t="s">
        <v>256</v>
      </c>
      <c r="G153" s="4" t="s">
        <v>150</v>
      </c>
      <c r="H153" s="4" t="s">
        <v>150</v>
      </c>
      <c r="O153" s="57" t="s">
        <v>355</v>
      </c>
      <c r="P153" s="58">
        <v>1</v>
      </c>
    </row>
    <row r="154" spans="1:16" s="4" customFormat="1" x14ac:dyDescent="0.25">
      <c r="A154" s="4" t="s">
        <v>354</v>
      </c>
      <c r="B154" s="4" t="s">
        <v>145</v>
      </c>
      <c r="C154" s="4" t="s">
        <v>146</v>
      </c>
      <c r="D154" s="4" t="s">
        <v>152</v>
      </c>
      <c r="E154" s="60">
        <v>42354</v>
      </c>
      <c r="F154" s="4" t="s">
        <v>267</v>
      </c>
      <c r="G154" s="4" t="s">
        <v>150</v>
      </c>
      <c r="H154" s="4" t="s">
        <v>114</v>
      </c>
      <c r="O154" s="57" t="s">
        <v>356</v>
      </c>
      <c r="P154" s="58">
        <v>1</v>
      </c>
    </row>
    <row r="155" spans="1:16" s="4" customFormat="1" x14ac:dyDescent="0.25">
      <c r="A155" s="4" t="s">
        <v>355</v>
      </c>
      <c r="B155" s="4" t="s">
        <v>145</v>
      </c>
      <c r="C155" s="4" t="s">
        <v>146</v>
      </c>
      <c r="D155" s="4" t="s">
        <v>152</v>
      </c>
      <c r="E155" s="60">
        <v>42354</v>
      </c>
      <c r="F155" s="4" t="s">
        <v>153</v>
      </c>
      <c r="G155" s="4" t="s">
        <v>150</v>
      </c>
      <c r="H155" s="4" t="s">
        <v>150</v>
      </c>
      <c r="O155" s="57" t="s">
        <v>357</v>
      </c>
      <c r="P155" s="58">
        <v>1</v>
      </c>
    </row>
    <row r="156" spans="1:16" s="4" customFormat="1" x14ac:dyDescent="0.25">
      <c r="A156" s="4" t="s">
        <v>356</v>
      </c>
      <c r="B156" s="4" t="s">
        <v>145</v>
      </c>
      <c r="C156" s="4" t="s">
        <v>146</v>
      </c>
      <c r="D156" s="4" t="s">
        <v>152</v>
      </c>
      <c r="E156" s="60">
        <v>42354</v>
      </c>
      <c r="F156" s="4" t="s">
        <v>153</v>
      </c>
      <c r="G156" s="4" t="s">
        <v>150</v>
      </c>
      <c r="H156" s="4" t="s">
        <v>150</v>
      </c>
      <c r="O156" s="57" t="s">
        <v>359</v>
      </c>
      <c r="P156" s="58">
        <v>1</v>
      </c>
    </row>
    <row r="157" spans="1:16" s="4" customFormat="1" x14ac:dyDescent="0.25">
      <c r="A157" s="4" t="s">
        <v>357</v>
      </c>
      <c r="B157" s="4" t="s">
        <v>145</v>
      </c>
      <c r="C157" s="4" t="s">
        <v>146</v>
      </c>
      <c r="D157" s="4" t="s">
        <v>155</v>
      </c>
      <c r="E157" s="60">
        <v>42354</v>
      </c>
      <c r="F157" s="4" t="s">
        <v>358</v>
      </c>
      <c r="G157" s="4" t="s">
        <v>150</v>
      </c>
      <c r="H157" s="4" t="s">
        <v>150</v>
      </c>
      <c r="O157" s="57" t="s">
        <v>361</v>
      </c>
      <c r="P157" s="58">
        <v>1</v>
      </c>
    </row>
    <row r="158" spans="1:16" s="4" customFormat="1" x14ac:dyDescent="0.25">
      <c r="A158" s="4" t="s">
        <v>359</v>
      </c>
      <c r="B158" s="4" t="s">
        <v>145</v>
      </c>
      <c r="C158" s="4" t="s">
        <v>146</v>
      </c>
      <c r="D158" s="4" t="s">
        <v>175</v>
      </c>
      <c r="E158" s="60">
        <v>42354</v>
      </c>
      <c r="F158" s="4" t="s">
        <v>360</v>
      </c>
      <c r="G158" s="4" t="s">
        <v>150</v>
      </c>
      <c r="H158" s="4" t="s">
        <v>150</v>
      </c>
      <c r="O158" s="57" t="s">
        <v>364</v>
      </c>
      <c r="P158" s="58">
        <v>1</v>
      </c>
    </row>
    <row r="159" spans="1:16" s="4" customFormat="1" x14ac:dyDescent="0.25">
      <c r="A159" s="4" t="s">
        <v>361</v>
      </c>
      <c r="B159" s="4" t="s">
        <v>145</v>
      </c>
      <c r="C159" s="4" t="s">
        <v>146</v>
      </c>
      <c r="D159" s="4" t="s">
        <v>147</v>
      </c>
      <c r="E159" s="60">
        <v>42354</v>
      </c>
      <c r="F159" s="4" t="s">
        <v>362</v>
      </c>
      <c r="G159" s="4" t="s">
        <v>149</v>
      </c>
      <c r="H159" s="4" t="s">
        <v>363</v>
      </c>
      <c r="O159" s="57" t="s">
        <v>365</v>
      </c>
      <c r="P159" s="58">
        <v>1</v>
      </c>
    </row>
    <row r="160" spans="1:16" s="4" customFormat="1" x14ac:dyDescent="0.25">
      <c r="A160" s="4" t="s">
        <v>364</v>
      </c>
      <c r="B160" s="4" t="s">
        <v>145</v>
      </c>
      <c r="C160" s="4" t="s">
        <v>146</v>
      </c>
      <c r="D160" s="4" t="s">
        <v>152</v>
      </c>
      <c r="E160" s="60">
        <v>42354</v>
      </c>
      <c r="F160" s="4" t="s">
        <v>153</v>
      </c>
      <c r="G160" s="4" t="s">
        <v>150</v>
      </c>
      <c r="H160" s="4" t="s">
        <v>150</v>
      </c>
      <c r="O160" s="57" t="s">
        <v>367</v>
      </c>
      <c r="P160" s="58">
        <v>1</v>
      </c>
    </row>
    <row r="161" spans="1:16" s="4" customFormat="1" x14ac:dyDescent="0.25">
      <c r="A161" s="4" t="s">
        <v>365</v>
      </c>
      <c r="B161" s="4" t="s">
        <v>145</v>
      </c>
      <c r="C161" s="4" t="s">
        <v>146</v>
      </c>
      <c r="D161" s="4" t="s">
        <v>175</v>
      </c>
      <c r="E161" s="60">
        <v>42354</v>
      </c>
      <c r="F161" s="4" t="s">
        <v>366</v>
      </c>
      <c r="G161" s="4" t="s">
        <v>150</v>
      </c>
      <c r="H161" s="4" t="s">
        <v>118</v>
      </c>
      <c r="O161" s="57" t="s">
        <v>369</v>
      </c>
      <c r="P161" s="58">
        <v>1</v>
      </c>
    </row>
    <row r="162" spans="1:16" s="4" customFormat="1" x14ac:dyDescent="0.25">
      <c r="A162" s="4" t="s">
        <v>367</v>
      </c>
      <c r="B162" s="4" t="s">
        <v>145</v>
      </c>
      <c r="C162" s="4" t="s">
        <v>146</v>
      </c>
      <c r="D162" s="4" t="s">
        <v>155</v>
      </c>
      <c r="E162" s="60">
        <v>42354</v>
      </c>
      <c r="F162" s="4" t="s">
        <v>368</v>
      </c>
      <c r="G162" s="4" t="s">
        <v>150</v>
      </c>
      <c r="H162" s="4" t="s">
        <v>134</v>
      </c>
      <c r="O162" s="57" t="s">
        <v>370</v>
      </c>
      <c r="P162" s="58">
        <v>1</v>
      </c>
    </row>
    <row r="163" spans="1:16" s="4" customFormat="1" x14ac:dyDescent="0.25">
      <c r="A163" s="4" t="s">
        <v>369</v>
      </c>
      <c r="B163" s="4" t="s">
        <v>145</v>
      </c>
      <c r="C163" s="4" t="s">
        <v>146</v>
      </c>
      <c r="D163" s="4" t="s">
        <v>155</v>
      </c>
      <c r="E163" s="60">
        <v>42354</v>
      </c>
      <c r="F163" s="4" t="s">
        <v>156</v>
      </c>
      <c r="G163" s="4" t="s">
        <v>150</v>
      </c>
      <c r="H163" s="4" t="s">
        <v>150</v>
      </c>
      <c r="O163" s="57" t="s">
        <v>371</v>
      </c>
      <c r="P163" s="58">
        <v>1</v>
      </c>
    </row>
    <row r="164" spans="1:16" s="4" customFormat="1" x14ac:dyDescent="0.25">
      <c r="A164" s="4" t="s">
        <v>370</v>
      </c>
      <c r="B164" s="4" t="s">
        <v>145</v>
      </c>
      <c r="C164" s="4" t="s">
        <v>146</v>
      </c>
      <c r="D164" s="4" t="s">
        <v>152</v>
      </c>
      <c r="E164" s="60">
        <v>42354</v>
      </c>
      <c r="F164" s="4" t="s">
        <v>153</v>
      </c>
      <c r="G164" s="4" t="s">
        <v>150</v>
      </c>
      <c r="H164" s="4" t="s">
        <v>150</v>
      </c>
      <c r="O164" s="57" t="s">
        <v>372</v>
      </c>
      <c r="P164" s="58">
        <v>1</v>
      </c>
    </row>
    <row r="165" spans="1:16" s="4" customFormat="1" x14ac:dyDescent="0.25">
      <c r="A165" s="4" t="s">
        <v>371</v>
      </c>
      <c r="B165" s="4" t="s">
        <v>145</v>
      </c>
      <c r="C165" s="4" t="s">
        <v>146</v>
      </c>
      <c r="D165" s="4" t="s">
        <v>152</v>
      </c>
      <c r="E165" s="60">
        <v>42354</v>
      </c>
      <c r="F165" s="4" t="s">
        <v>153</v>
      </c>
      <c r="G165" s="4" t="s">
        <v>150</v>
      </c>
      <c r="H165" s="4" t="s">
        <v>150</v>
      </c>
      <c r="O165" s="57" t="s">
        <v>373</v>
      </c>
      <c r="P165" s="58">
        <v>1</v>
      </c>
    </row>
    <row r="166" spans="1:16" s="4" customFormat="1" x14ac:dyDescent="0.25">
      <c r="A166" s="4" t="s">
        <v>372</v>
      </c>
      <c r="B166" s="4" t="s">
        <v>145</v>
      </c>
      <c r="C166" s="4" t="s">
        <v>146</v>
      </c>
      <c r="D166" s="4" t="s">
        <v>175</v>
      </c>
      <c r="E166" s="60">
        <v>42354</v>
      </c>
      <c r="F166" s="4" t="s">
        <v>199</v>
      </c>
      <c r="G166" s="4" t="s">
        <v>150</v>
      </c>
      <c r="H166" s="4" t="s">
        <v>150</v>
      </c>
      <c r="O166" s="57" t="s">
        <v>374</v>
      </c>
      <c r="P166" s="58">
        <v>1</v>
      </c>
    </row>
    <row r="167" spans="1:16" s="4" customFormat="1" x14ac:dyDescent="0.25">
      <c r="A167" s="4" t="s">
        <v>373</v>
      </c>
      <c r="B167" s="4" t="s">
        <v>145</v>
      </c>
      <c r="C167" s="4" t="s">
        <v>146</v>
      </c>
      <c r="D167" s="4" t="s">
        <v>152</v>
      </c>
      <c r="E167" s="60">
        <v>42354</v>
      </c>
      <c r="F167" s="4" t="s">
        <v>153</v>
      </c>
      <c r="G167" s="4" t="s">
        <v>150</v>
      </c>
      <c r="H167" s="4" t="s">
        <v>150</v>
      </c>
      <c r="O167" s="57" t="s">
        <v>375</v>
      </c>
      <c r="P167" s="58">
        <v>1</v>
      </c>
    </row>
    <row r="168" spans="1:16" s="4" customFormat="1" x14ac:dyDescent="0.25">
      <c r="A168" s="4" t="s">
        <v>374</v>
      </c>
      <c r="B168" s="4" t="s">
        <v>145</v>
      </c>
      <c r="C168" s="4" t="s">
        <v>146</v>
      </c>
      <c r="D168" s="4" t="s">
        <v>152</v>
      </c>
      <c r="E168" s="60">
        <v>42354</v>
      </c>
      <c r="F168" s="4" t="s">
        <v>153</v>
      </c>
      <c r="G168" s="4" t="s">
        <v>150</v>
      </c>
      <c r="H168" s="4" t="s">
        <v>150</v>
      </c>
      <c r="O168" s="57" t="s">
        <v>376</v>
      </c>
      <c r="P168" s="58">
        <v>1</v>
      </c>
    </row>
    <row r="169" spans="1:16" s="4" customFormat="1" x14ac:dyDescent="0.25">
      <c r="A169" s="4" t="s">
        <v>375</v>
      </c>
      <c r="B169" s="4" t="s">
        <v>145</v>
      </c>
      <c r="C169" s="4" t="s">
        <v>146</v>
      </c>
      <c r="D169" s="4" t="s">
        <v>155</v>
      </c>
      <c r="E169" s="60">
        <v>42354</v>
      </c>
      <c r="F169" s="4" t="s">
        <v>226</v>
      </c>
      <c r="G169" s="4" t="s">
        <v>150</v>
      </c>
      <c r="H169" s="4" t="s">
        <v>150</v>
      </c>
      <c r="O169" s="57" t="s">
        <v>377</v>
      </c>
      <c r="P169" s="58">
        <v>1</v>
      </c>
    </row>
    <row r="170" spans="1:16" s="4" customFormat="1" x14ac:dyDescent="0.25">
      <c r="A170" s="4" t="s">
        <v>376</v>
      </c>
      <c r="B170" s="4" t="s">
        <v>145</v>
      </c>
      <c r="C170" s="4" t="s">
        <v>146</v>
      </c>
      <c r="D170" s="4" t="s">
        <v>152</v>
      </c>
      <c r="E170" s="60">
        <v>42354</v>
      </c>
      <c r="F170" s="4" t="s">
        <v>153</v>
      </c>
      <c r="G170" s="4" t="s">
        <v>150</v>
      </c>
      <c r="H170" s="4" t="s">
        <v>150</v>
      </c>
      <c r="O170" s="57" t="s">
        <v>379</v>
      </c>
      <c r="P170" s="58">
        <v>1</v>
      </c>
    </row>
    <row r="171" spans="1:16" s="4" customFormat="1" x14ac:dyDescent="0.25">
      <c r="A171" s="4" t="s">
        <v>377</v>
      </c>
      <c r="B171" s="4" t="s">
        <v>145</v>
      </c>
      <c r="C171" s="4" t="s">
        <v>146</v>
      </c>
      <c r="D171" s="4" t="s">
        <v>155</v>
      </c>
      <c r="E171" s="60">
        <v>42354</v>
      </c>
      <c r="F171" s="4" t="s">
        <v>378</v>
      </c>
      <c r="G171" s="4" t="s">
        <v>150</v>
      </c>
      <c r="H171" s="4" t="s">
        <v>150</v>
      </c>
      <c r="O171" s="57" t="s">
        <v>380</v>
      </c>
      <c r="P171" s="58">
        <v>1</v>
      </c>
    </row>
    <row r="172" spans="1:16" s="4" customFormat="1" x14ac:dyDescent="0.25">
      <c r="A172" s="4" t="s">
        <v>379</v>
      </c>
      <c r="B172" s="4" t="s">
        <v>145</v>
      </c>
      <c r="C172" s="4" t="s">
        <v>146</v>
      </c>
      <c r="D172" s="4" t="s">
        <v>152</v>
      </c>
      <c r="E172" s="60">
        <v>42354</v>
      </c>
      <c r="F172" s="4" t="s">
        <v>153</v>
      </c>
      <c r="G172" s="4" t="s">
        <v>150</v>
      </c>
      <c r="H172" s="4" t="s">
        <v>150</v>
      </c>
      <c r="O172" s="57" t="s">
        <v>381</v>
      </c>
      <c r="P172" s="58">
        <v>1</v>
      </c>
    </row>
    <row r="173" spans="1:16" s="4" customFormat="1" x14ac:dyDescent="0.25">
      <c r="A173" s="4" t="s">
        <v>380</v>
      </c>
      <c r="B173" s="4" t="s">
        <v>145</v>
      </c>
      <c r="C173" s="4" t="s">
        <v>146</v>
      </c>
      <c r="D173" s="4" t="s">
        <v>152</v>
      </c>
      <c r="E173" s="60">
        <v>42354</v>
      </c>
      <c r="F173" s="4" t="s">
        <v>153</v>
      </c>
      <c r="G173" s="4" t="s">
        <v>150</v>
      </c>
      <c r="H173" s="4" t="s">
        <v>150</v>
      </c>
      <c r="O173" s="57" t="s">
        <v>382</v>
      </c>
      <c r="P173" s="58">
        <v>1</v>
      </c>
    </row>
    <row r="174" spans="1:16" s="4" customFormat="1" x14ac:dyDescent="0.25">
      <c r="A174" s="4" t="s">
        <v>381</v>
      </c>
      <c r="B174" s="4" t="s">
        <v>145</v>
      </c>
      <c r="C174" s="4" t="s">
        <v>146</v>
      </c>
      <c r="D174" s="4" t="s">
        <v>155</v>
      </c>
      <c r="E174" s="60">
        <v>42354</v>
      </c>
      <c r="F174" s="4" t="s">
        <v>287</v>
      </c>
      <c r="G174" s="4" t="s">
        <v>150</v>
      </c>
      <c r="H174" s="4" t="s">
        <v>150</v>
      </c>
      <c r="O174" s="57" t="s">
        <v>384</v>
      </c>
      <c r="P174" s="58">
        <v>1</v>
      </c>
    </row>
    <row r="175" spans="1:16" s="4" customFormat="1" x14ac:dyDescent="0.25">
      <c r="A175" s="4" t="s">
        <v>382</v>
      </c>
      <c r="B175" s="4" t="s">
        <v>145</v>
      </c>
      <c r="C175" s="4" t="s">
        <v>146</v>
      </c>
      <c r="D175" s="4" t="s">
        <v>155</v>
      </c>
      <c r="E175" s="60">
        <v>42354</v>
      </c>
      <c r="F175" s="4" t="s">
        <v>383</v>
      </c>
      <c r="G175" s="4" t="s">
        <v>150</v>
      </c>
      <c r="H175" s="4" t="s">
        <v>150</v>
      </c>
      <c r="O175" s="57" t="s">
        <v>385</v>
      </c>
      <c r="P175" s="58">
        <v>1</v>
      </c>
    </row>
    <row r="176" spans="1:16" s="4" customFormat="1" x14ac:dyDescent="0.25">
      <c r="A176" s="4" t="s">
        <v>384</v>
      </c>
      <c r="B176" s="4" t="s">
        <v>145</v>
      </c>
      <c r="C176" s="4" t="s">
        <v>146</v>
      </c>
      <c r="D176" s="4" t="s">
        <v>155</v>
      </c>
      <c r="E176" s="60">
        <v>42354</v>
      </c>
      <c r="F176" s="4" t="s">
        <v>199</v>
      </c>
      <c r="G176" s="4" t="s">
        <v>150</v>
      </c>
      <c r="H176" s="4" t="s">
        <v>150</v>
      </c>
      <c r="O176" s="57" t="s">
        <v>386</v>
      </c>
      <c r="P176" s="58">
        <v>1</v>
      </c>
    </row>
    <row r="177" spans="1:16" s="4" customFormat="1" x14ac:dyDescent="0.25">
      <c r="A177" s="4" t="s">
        <v>385</v>
      </c>
      <c r="B177" s="4" t="s">
        <v>145</v>
      </c>
      <c r="C177" s="4" t="s">
        <v>146</v>
      </c>
      <c r="D177" s="4" t="s">
        <v>155</v>
      </c>
      <c r="E177" s="60">
        <v>42354</v>
      </c>
      <c r="F177" s="4" t="s">
        <v>199</v>
      </c>
      <c r="G177" s="4" t="s">
        <v>150</v>
      </c>
      <c r="H177" s="4" t="s">
        <v>150</v>
      </c>
      <c r="O177" s="57" t="s">
        <v>387</v>
      </c>
      <c r="P177" s="58">
        <v>1</v>
      </c>
    </row>
    <row r="178" spans="1:16" s="4" customFormat="1" x14ac:dyDescent="0.25">
      <c r="A178" s="4" t="s">
        <v>386</v>
      </c>
      <c r="B178" s="4" t="s">
        <v>145</v>
      </c>
      <c r="C178" s="4" t="s">
        <v>146</v>
      </c>
      <c r="D178" s="4" t="s">
        <v>147</v>
      </c>
      <c r="E178" s="60">
        <v>42354</v>
      </c>
      <c r="F178" s="4" t="s">
        <v>362</v>
      </c>
      <c r="G178" s="4" t="s">
        <v>149</v>
      </c>
      <c r="H178" s="4" t="s">
        <v>150</v>
      </c>
      <c r="O178" s="57" t="s">
        <v>388</v>
      </c>
      <c r="P178" s="58">
        <v>1</v>
      </c>
    </row>
    <row r="179" spans="1:16" s="4" customFormat="1" x14ac:dyDescent="0.25">
      <c r="A179" s="4" t="s">
        <v>387</v>
      </c>
      <c r="B179" s="4" t="s">
        <v>145</v>
      </c>
      <c r="C179" s="4" t="s">
        <v>146</v>
      </c>
      <c r="D179" s="4" t="s">
        <v>152</v>
      </c>
      <c r="E179" s="60">
        <v>42354</v>
      </c>
      <c r="F179" s="4" t="s">
        <v>153</v>
      </c>
      <c r="G179" s="4" t="s">
        <v>150</v>
      </c>
      <c r="H179" s="4" t="s">
        <v>150</v>
      </c>
      <c r="O179" s="57" t="s">
        <v>389</v>
      </c>
      <c r="P179" s="58">
        <v>1</v>
      </c>
    </row>
    <row r="180" spans="1:16" s="4" customFormat="1" x14ac:dyDescent="0.25">
      <c r="A180" s="4" t="s">
        <v>388</v>
      </c>
      <c r="B180" s="4" t="s">
        <v>145</v>
      </c>
      <c r="C180" s="4" t="s">
        <v>146</v>
      </c>
      <c r="D180" s="4" t="s">
        <v>152</v>
      </c>
      <c r="E180" s="60">
        <v>42354</v>
      </c>
      <c r="F180" s="4" t="s">
        <v>153</v>
      </c>
      <c r="G180" s="4" t="s">
        <v>150</v>
      </c>
      <c r="H180" s="4" t="s">
        <v>150</v>
      </c>
      <c r="O180" s="57" t="s">
        <v>390</v>
      </c>
      <c r="P180" s="58">
        <v>1</v>
      </c>
    </row>
    <row r="181" spans="1:16" s="4" customFormat="1" x14ac:dyDescent="0.25">
      <c r="A181" s="4" t="s">
        <v>389</v>
      </c>
      <c r="B181" s="4" t="s">
        <v>145</v>
      </c>
      <c r="C181" s="4" t="s">
        <v>146</v>
      </c>
      <c r="D181" s="4" t="s">
        <v>152</v>
      </c>
      <c r="E181" s="60">
        <v>42354</v>
      </c>
      <c r="F181" s="4" t="s">
        <v>153</v>
      </c>
      <c r="G181" s="4" t="s">
        <v>150</v>
      </c>
      <c r="H181" s="4" t="s">
        <v>150</v>
      </c>
      <c r="O181" s="57" t="s">
        <v>391</v>
      </c>
      <c r="P181" s="58">
        <v>1</v>
      </c>
    </row>
    <row r="182" spans="1:16" s="4" customFormat="1" x14ac:dyDescent="0.25">
      <c r="A182" s="4" t="s">
        <v>390</v>
      </c>
      <c r="B182" s="4" t="s">
        <v>145</v>
      </c>
      <c r="C182" s="4" t="s">
        <v>146</v>
      </c>
      <c r="D182" s="4" t="s">
        <v>152</v>
      </c>
      <c r="E182" s="60">
        <v>42354</v>
      </c>
      <c r="F182" s="4" t="s">
        <v>153</v>
      </c>
      <c r="G182" s="4" t="s">
        <v>150</v>
      </c>
      <c r="H182" s="4" t="s">
        <v>150</v>
      </c>
      <c r="O182" s="57" t="s">
        <v>392</v>
      </c>
      <c r="P182" s="58">
        <v>1</v>
      </c>
    </row>
    <row r="183" spans="1:16" s="4" customFormat="1" x14ac:dyDescent="0.25">
      <c r="A183" s="4" t="s">
        <v>391</v>
      </c>
      <c r="B183" s="4" t="s">
        <v>145</v>
      </c>
      <c r="C183" s="4" t="s">
        <v>146</v>
      </c>
      <c r="D183" s="4" t="s">
        <v>152</v>
      </c>
      <c r="E183" s="60">
        <v>42354</v>
      </c>
      <c r="F183" s="4" t="s">
        <v>153</v>
      </c>
      <c r="G183" s="4" t="s">
        <v>150</v>
      </c>
      <c r="H183" s="4" t="s">
        <v>150</v>
      </c>
      <c r="O183" s="57" t="s">
        <v>393</v>
      </c>
      <c r="P183" s="58">
        <v>1</v>
      </c>
    </row>
    <row r="184" spans="1:16" s="4" customFormat="1" x14ac:dyDescent="0.25">
      <c r="A184" s="4" t="s">
        <v>392</v>
      </c>
      <c r="B184" s="4" t="s">
        <v>145</v>
      </c>
      <c r="C184" s="4" t="s">
        <v>146</v>
      </c>
      <c r="D184" s="4" t="s">
        <v>152</v>
      </c>
      <c r="E184" s="60">
        <v>42354</v>
      </c>
      <c r="F184" s="4" t="s">
        <v>153</v>
      </c>
      <c r="G184" s="4" t="s">
        <v>150</v>
      </c>
      <c r="H184" s="4" t="s">
        <v>150</v>
      </c>
      <c r="O184" s="57" t="s">
        <v>394</v>
      </c>
      <c r="P184" s="58">
        <v>1</v>
      </c>
    </row>
    <row r="185" spans="1:16" s="4" customFormat="1" x14ac:dyDescent="0.25">
      <c r="A185" s="4" t="s">
        <v>393</v>
      </c>
      <c r="B185" s="4" t="s">
        <v>145</v>
      </c>
      <c r="C185" s="4" t="s">
        <v>146</v>
      </c>
      <c r="D185" s="4" t="s">
        <v>152</v>
      </c>
      <c r="E185" s="60">
        <v>42354</v>
      </c>
      <c r="F185" s="4" t="s">
        <v>153</v>
      </c>
      <c r="G185" s="4" t="s">
        <v>150</v>
      </c>
      <c r="H185" s="4" t="s">
        <v>150</v>
      </c>
      <c r="O185" s="57" t="s">
        <v>395</v>
      </c>
      <c r="P185" s="58">
        <v>1</v>
      </c>
    </row>
    <row r="186" spans="1:16" s="4" customFormat="1" x14ac:dyDescent="0.25">
      <c r="A186" s="4" t="s">
        <v>394</v>
      </c>
      <c r="B186" s="4" t="s">
        <v>145</v>
      </c>
      <c r="C186" s="4" t="s">
        <v>146</v>
      </c>
      <c r="D186" s="4" t="s">
        <v>152</v>
      </c>
      <c r="E186" s="60">
        <v>42354</v>
      </c>
      <c r="F186" s="4" t="s">
        <v>153</v>
      </c>
      <c r="G186" s="4" t="s">
        <v>150</v>
      </c>
      <c r="H186" s="4" t="s">
        <v>150</v>
      </c>
      <c r="O186" s="57" t="s">
        <v>396</v>
      </c>
      <c r="P186" s="58">
        <v>1</v>
      </c>
    </row>
    <row r="187" spans="1:16" s="4" customFormat="1" x14ac:dyDescent="0.25">
      <c r="A187" s="4" t="s">
        <v>395</v>
      </c>
      <c r="B187" s="4" t="s">
        <v>145</v>
      </c>
      <c r="C187" s="4" t="s">
        <v>146</v>
      </c>
      <c r="D187" s="4" t="s">
        <v>152</v>
      </c>
      <c r="E187" s="60">
        <v>42354</v>
      </c>
      <c r="F187" s="4" t="s">
        <v>153</v>
      </c>
      <c r="G187" s="4" t="s">
        <v>150</v>
      </c>
      <c r="H187" s="4" t="s">
        <v>150</v>
      </c>
      <c r="O187" s="57" t="s">
        <v>397</v>
      </c>
      <c r="P187" s="58">
        <v>1</v>
      </c>
    </row>
    <row r="188" spans="1:16" s="4" customFormat="1" x14ac:dyDescent="0.25">
      <c r="A188" s="4" t="s">
        <v>396</v>
      </c>
      <c r="B188" s="4" t="s">
        <v>145</v>
      </c>
      <c r="C188" s="4" t="s">
        <v>146</v>
      </c>
      <c r="D188" s="4" t="s">
        <v>152</v>
      </c>
      <c r="E188" s="60">
        <v>42354</v>
      </c>
      <c r="F188" s="4" t="s">
        <v>153</v>
      </c>
      <c r="G188" s="4" t="s">
        <v>150</v>
      </c>
      <c r="H188" s="4" t="s">
        <v>150</v>
      </c>
      <c r="O188" s="57" t="s">
        <v>398</v>
      </c>
      <c r="P188" s="58">
        <v>1</v>
      </c>
    </row>
    <row r="189" spans="1:16" s="4" customFormat="1" x14ac:dyDescent="0.25">
      <c r="A189" s="4" t="s">
        <v>397</v>
      </c>
      <c r="B189" s="4" t="s">
        <v>145</v>
      </c>
      <c r="C189" s="4" t="s">
        <v>146</v>
      </c>
      <c r="D189" s="4" t="s">
        <v>152</v>
      </c>
      <c r="E189" s="60">
        <v>42355</v>
      </c>
      <c r="F189" s="4" t="s">
        <v>153</v>
      </c>
      <c r="G189" s="4" t="s">
        <v>150</v>
      </c>
      <c r="H189" s="4" t="s">
        <v>150</v>
      </c>
      <c r="O189" s="57" t="s">
        <v>399</v>
      </c>
      <c r="P189" s="58">
        <v>1</v>
      </c>
    </row>
    <row r="190" spans="1:16" s="4" customFormat="1" x14ac:dyDescent="0.25">
      <c r="A190" s="4" t="s">
        <v>398</v>
      </c>
      <c r="B190" s="4" t="s">
        <v>145</v>
      </c>
      <c r="C190" s="4" t="s">
        <v>146</v>
      </c>
      <c r="D190" s="4" t="s">
        <v>152</v>
      </c>
      <c r="E190" s="60">
        <v>42355</v>
      </c>
      <c r="F190" s="4" t="s">
        <v>153</v>
      </c>
      <c r="G190" s="4" t="s">
        <v>150</v>
      </c>
      <c r="H190" s="4" t="s">
        <v>150</v>
      </c>
      <c r="O190" s="57" t="s">
        <v>400</v>
      </c>
      <c r="P190" s="58">
        <v>1</v>
      </c>
    </row>
    <row r="191" spans="1:16" s="4" customFormat="1" x14ac:dyDescent="0.25">
      <c r="A191" s="4" t="s">
        <v>399</v>
      </c>
      <c r="B191" s="4" t="s">
        <v>145</v>
      </c>
      <c r="C191" s="4" t="s">
        <v>146</v>
      </c>
      <c r="D191" s="4" t="s">
        <v>155</v>
      </c>
      <c r="E191" s="60">
        <v>42355</v>
      </c>
      <c r="F191" s="4" t="s">
        <v>159</v>
      </c>
      <c r="G191" s="4" t="s">
        <v>150</v>
      </c>
      <c r="H191" s="4" t="s">
        <v>150</v>
      </c>
      <c r="O191" s="57" t="s">
        <v>402</v>
      </c>
      <c r="P191" s="58">
        <v>1</v>
      </c>
    </row>
    <row r="192" spans="1:16" s="4" customFormat="1" x14ac:dyDescent="0.25">
      <c r="A192" s="4" t="s">
        <v>400</v>
      </c>
      <c r="B192" s="4" t="s">
        <v>145</v>
      </c>
      <c r="C192" s="4" t="s">
        <v>146</v>
      </c>
      <c r="D192" s="4" t="s">
        <v>155</v>
      </c>
      <c r="E192" s="60">
        <v>42355</v>
      </c>
      <c r="F192" s="4" t="s">
        <v>267</v>
      </c>
      <c r="G192" s="4" t="s">
        <v>150</v>
      </c>
      <c r="H192" s="4" t="s">
        <v>401</v>
      </c>
      <c r="O192" s="57" t="s">
        <v>403</v>
      </c>
      <c r="P192" s="58">
        <v>1</v>
      </c>
    </row>
    <row r="193" spans="1:16" s="4" customFormat="1" x14ac:dyDescent="0.25">
      <c r="A193" s="4" t="s">
        <v>402</v>
      </c>
      <c r="B193" s="4" t="s">
        <v>145</v>
      </c>
      <c r="C193" s="4" t="s">
        <v>146</v>
      </c>
      <c r="D193" s="4" t="s">
        <v>155</v>
      </c>
      <c r="E193" s="60">
        <v>42355</v>
      </c>
      <c r="F193" s="4" t="s">
        <v>360</v>
      </c>
      <c r="G193" s="4" t="s">
        <v>150</v>
      </c>
      <c r="H193" s="4" t="s">
        <v>150</v>
      </c>
      <c r="O193" s="57" t="s">
        <v>404</v>
      </c>
      <c r="P193" s="58">
        <v>1</v>
      </c>
    </row>
    <row r="194" spans="1:16" s="4" customFormat="1" x14ac:dyDescent="0.25">
      <c r="A194" s="4" t="s">
        <v>403</v>
      </c>
      <c r="B194" s="4" t="s">
        <v>145</v>
      </c>
      <c r="C194" s="4" t="s">
        <v>146</v>
      </c>
      <c r="D194" s="4" t="s">
        <v>155</v>
      </c>
      <c r="E194" s="60">
        <v>42355</v>
      </c>
      <c r="F194" s="4" t="s">
        <v>366</v>
      </c>
      <c r="G194" s="4" t="s">
        <v>150</v>
      </c>
      <c r="H194" s="4" t="s">
        <v>150</v>
      </c>
      <c r="O194" s="57" t="s">
        <v>405</v>
      </c>
      <c r="P194" s="58">
        <v>1</v>
      </c>
    </row>
    <row r="195" spans="1:16" s="4" customFormat="1" x14ac:dyDescent="0.25">
      <c r="A195" s="4" t="s">
        <v>404</v>
      </c>
      <c r="B195" s="4" t="s">
        <v>145</v>
      </c>
      <c r="C195" s="4" t="s">
        <v>146</v>
      </c>
      <c r="D195" s="4" t="s">
        <v>155</v>
      </c>
      <c r="E195" s="60">
        <v>42355</v>
      </c>
      <c r="F195" s="4" t="s">
        <v>156</v>
      </c>
      <c r="G195" s="4" t="s">
        <v>150</v>
      </c>
      <c r="H195" s="4" t="s">
        <v>150</v>
      </c>
      <c r="O195" s="57" t="s">
        <v>407</v>
      </c>
      <c r="P195" s="58">
        <v>1</v>
      </c>
    </row>
    <row r="196" spans="1:16" s="4" customFormat="1" x14ac:dyDescent="0.25">
      <c r="A196" s="4" t="s">
        <v>405</v>
      </c>
      <c r="B196" s="4" t="s">
        <v>145</v>
      </c>
      <c r="C196" s="4" t="s">
        <v>146</v>
      </c>
      <c r="D196" s="4" t="s">
        <v>155</v>
      </c>
      <c r="E196" s="60">
        <v>42355</v>
      </c>
      <c r="F196" s="4" t="s">
        <v>406</v>
      </c>
      <c r="G196" s="4" t="s">
        <v>150</v>
      </c>
      <c r="H196" s="4" t="s">
        <v>150</v>
      </c>
      <c r="O196" s="57" t="s">
        <v>409</v>
      </c>
      <c r="P196" s="58">
        <v>1</v>
      </c>
    </row>
    <row r="197" spans="1:16" s="4" customFormat="1" x14ac:dyDescent="0.25">
      <c r="A197" s="4" t="s">
        <v>407</v>
      </c>
      <c r="B197" s="4" t="s">
        <v>145</v>
      </c>
      <c r="C197" s="4" t="s">
        <v>146</v>
      </c>
      <c r="D197" s="4" t="s">
        <v>147</v>
      </c>
      <c r="E197" s="60">
        <v>42355</v>
      </c>
      <c r="F197" s="4" t="s">
        <v>408</v>
      </c>
      <c r="G197" s="4" t="s">
        <v>149</v>
      </c>
      <c r="H197" s="4" t="s">
        <v>150</v>
      </c>
      <c r="O197" s="57" t="s">
        <v>410</v>
      </c>
      <c r="P197" s="58">
        <v>1</v>
      </c>
    </row>
    <row r="198" spans="1:16" s="4" customFormat="1" x14ac:dyDescent="0.25">
      <c r="A198" s="4" t="s">
        <v>409</v>
      </c>
      <c r="B198" s="4" t="s">
        <v>145</v>
      </c>
      <c r="C198" s="4" t="s">
        <v>146</v>
      </c>
      <c r="D198" s="4" t="s">
        <v>152</v>
      </c>
      <c r="E198" s="60">
        <v>42355</v>
      </c>
      <c r="F198" s="4" t="s">
        <v>153</v>
      </c>
      <c r="G198" s="4" t="s">
        <v>150</v>
      </c>
      <c r="H198" s="4" t="s">
        <v>150</v>
      </c>
      <c r="O198" s="57" t="s">
        <v>411</v>
      </c>
      <c r="P198" s="58">
        <v>1</v>
      </c>
    </row>
    <row r="199" spans="1:16" s="4" customFormat="1" x14ac:dyDescent="0.25">
      <c r="A199" s="4" t="s">
        <v>410</v>
      </c>
      <c r="B199" s="4" t="s">
        <v>145</v>
      </c>
      <c r="C199" s="4" t="s">
        <v>146</v>
      </c>
      <c r="D199" s="4" t="s">
        <v>147</v>
      </c>
      <c r="E199" s="60">
        <v>42355</v>
      </c>
      <c r="F199" s="4" t="s">
        <v>169</v>
      </c>
      <c r="G199" s="4" t="s">
        <v>149</v>
      </c>
      <c r="H199" s="4" t="s">
        <v>125</v>
      </c>
      <c r="O199" s="57" t="s">
        <v>412</v>
      </c>
      <c r="P199" s="58">
        <v>1</v>
      </c>
    </row>
    <row r="200" spans="1:16" s="4" customFormat="1" x14ac:dyDescent="0.25">
      <c r="A200" s="4" t="s">
        <v>411</v>
      </c>
      <c r="B200" s="4" t="s">
        <v>145</v>
      </c>
      <c r="C200" s="4" t="s">
        <v>146</v>
      </c>
      <c r="D200" s="4" t="s">
        <v>152</v>
      </c>
      <c r="E200" s="60">
        <v>42355</v>
      </c>
      <c r="F200" s="4" t="s">
        <v>153</v>
      </c>
      <c r="G200" s="4" t="s">
        <v>150</v>
      </c>
      <c r="H200" s="4" t="s">
        <v>150</v>
      </c>
      <c r="O200" s="57" t="s">
        <v>413</v>
      </c>
      <c r="P200" s="58">
        <v>1</v>
      </c>
    </row>
    <row r="201" spans="1:16" s="4" customFormat="1" x14ac:dyDescent="0.25">
      <c r="A201" s="4" t="s">
        <v>412</v>
      </c>
      <c r="B201" s="4" t="s">
        <v>145</v>
      </c>
      <c r="C201" s="4" t="s">
        <v>146</v>
      </c>
      <c r="D201" s="4" t="s">
        <v>147</v>
      </c>
      <c r="E201" s="60">
        <v>42355</v>
      </c>
      <c r="F201" s="4" t="s">
        <v>277</v>
      </c>
      <c r="G201" s="4" t="s">
        <v>149</v>
      </c>
      <c r="H201" s="4" t="s">
        <v>150</v>
      </c>
      <c r="O201" s="57" t="s">
        <v>414</v>
      </c>
      <c r="P201" s="58">
        <v>1</v>
      </c>
    </row>
    <row r="202" spans="1:16" s="4" customFormat="1" x14ac:dyDescent="0.25">
      <c r="A202" s="4" t="s">
        <v>413</v>
      </c>
      <c r="B202" s="4" t="s">
        <v>145</v>
      </c>
      <c r="C202" s="4" t="s">
        <v>146</v>
      </c>
      <c r="D202" s="4" t="s">
        <v>155</v>
      </c>
      <c r="E202" s="60">
        <v>42355</v>
      </c>
      <c r="F202" s="4" t="s">
        <v>248</v>
      </c>
      <c r="G202" s="4" t="s">
        <v>150</v>
      </c>
      <c r="H202" s="4" t="s">
        <v>129</v>
      </c>
      <c r="O202" s="57" t="s">
        <v>415</v>
      </c>
      <c r="P202" s="58">
        <v>3</v>
      </c>
    </row>
    <row r="203" spans="1:16" s="4" customFormat="1" x14ac:dyDescent="0.25">
      <c r="A203" s="4" t="s">
        <v>414</v>
      </c>
      <c r="B203" s="4" t="s">
        <v>145</v>
      </c>
      <c r="C203" s="4" t="s">
        <v>146</v>
      </c>
      <c r="D203" s="4" t="s">
        <v>147</v>
      </c>
      <c r="E203" s="60">
        <v>42355</v>
      </c>
      <c r="F203" s="4" t="s">
        <v>277</v>
      </c>
      <c r="G203" s="4" t="s">
        <v>149</v>
      </c>
      <c r="H203" s="4" t="s">
        <v>150</v>
      </c>
      <c r="O203" s="57" t="s">
        <v>417</v>
      </c>
      <c r="P203" s="58">
        <v>1</v>
      </c>
    </row>
    <row r="204" spans="1:16" s="4" customFormat="1" x14ac:dyDescent="0.25">
      <c r="A204" s="4" t="s">
        <v>415</v>
      </c>
      <c r="B204" s="4" t="s">
        <v>145</v>
      </c>
      <c r="C204" s="4" t="s">
        <v>146</v>
      </c>
      <c r="D204" s="4" t="s">
        <v>152</v>
      </c>
      <c r="E204" s="60">
        <v>42355</v>
      </c>
      <c r="F204" s="4" t="s">
        <v>267</v>
      </c>
      <c r="G204" s="4" t="s">
        <v>150</v>
      </c>
      <c r="H204" s="4" t="s">
        <v>127</v>
      </c>
      <c r="O204" s="57" t="s">
        <v>418</v>
      </c>
      <c r="P204" s="58">
        <v>1</v>
      </c>
    </row>
    <row r="205" spans="1:16" s="4" customFormat="1" x14ac:dyDescent="0.25">
      <c r="A205" s="62" t="s">
        <v>415</v>
      </c>
      <c r="B205" s="4" t="s">
        <v>145</v>
      </c>
      <c r="C205" s="4" t="s">
        <v>146</v>
      </c>
      <c r="D205" s="4" t="s">
        <v>152</v>
      </c>
      <c r="E205" s="60">
        <v>42355</v>
      </c>
      <c r="F205" s="4" t="s">
        <v>267</v>
      </c>
      <c r="G205" s="4" t="s">
        <v>150</v>
      </c>
      <c r="H205" s="4" t="s">
        <v>416</v>
      </c>
      <c r="O205" s="57" t="s">
        <v>419</v>
      </c>
      <c r="P205" s="58">
        <v>1</v>
      </c>
    </row>
    <row r="206" spans="1:16" s="4" customFormat="1" x14ac:dyDescent="0.25">
      <c r="A206" s="4" t="s">
        <v>415</v>
      </c>
      <c r="B206" s="4" t="s">
        <v>145</v>
      </c>
      <c r="C206" s="4" t="s">
        <v>146</v>
      </c>
      <c r="D206" s="4" t="s">
        <v>152</v>
      </c>
      <c r="E206" s="60">
        <v>42355</v>
      </c>
      <c r="F206" s="4" t="s">
        <v>267</v>
      </c>
      <c r="G206" s="4" t="s">
        <v>150</v>
      </c>
      <c r="H206" s="4" t="s">
        <v>123</v>
      </c>
      <c r="O206" s="57" t="s">
        <v>420</v>
      </c>
      <c r="P206" s="58">
        <v>1</v>
      </c>
    </row>
    <row r="207" spans="1:16" s="4" customFormat="1" x14ac:dyDescent="0.25">
      <c r="A207" s="62" t="s">
        <v>417</v>
      </c>
      <c r="B207" s="4" t="s">
        <v>145</v>
      </c>
      <c r="C207" s="4" t="s">
        <v>146</v>
      </c>
      <c r="D207" s="4" t="s">
        <v>152</v>
      </c>
      <c r="E207" s="60">
        <v>42355</v>
      </c>
      <c r="F207" s="4" t="s">
        <v>267</v>
      </c>
      <c r="G207" s="4" t="s">
        <v>150</v>
      </c>
      <c r="H207" s="4" t="s">
        <v>136</v>
      </c>
      <c r="O207" s="57" t="s">
        <v>421</v>
      </c>
      <c r="P207" s="58">
        <v>1</v>
      </c>
    </row>
    <row r="208" spans="1:16" s="4" customFormat="1" x14ac:dyDescent="0.25">
      <c r="A208" s="4" t="s">
        <v>418</v>
      </c>
      <c r="B208" s="4" t="s">
        <v>145</v>
      </c>
      <c r="C208" s="4" t="s">
        <v>146</v>
      </c>
      <c r="D208" s="4" t="s">
        <v>155</v>
      </c>
      <c r="E208" s="60">
        <v>42355</v>
      </c>
      <c r="F208" s="4" t="s">
        <v>172</v>
      </c>
      <c r="G208" s="4" t="s">
        <v>150</v>
      </c>
      <c r="H208" s="4" t="s">
        <v>150</v>
      </c>
      <c r="O208" s="57" t="s">
        <v>424</v>
      </c>
      <c r="P208" s="58">
        <v>2</v>
      </c>
    </row>
    <row r="209" spans="1:16" s="4" customFormat="1" x14ac:dyDescent="0.25">
      <c r="A209" s="4" t="s">
        <v>419</v>
      </c>
      <c r="B209" s="4" t="s">
        <v>145</v>
      </c>
      <c r="C209" s="4" t="s">
        <v>146</v>
      </c>
      <c r="D209" s="4" t="s">
        <v>152</v>
      </c>
      <c r="E209" s="60">
        <v>42355</v>
      </c>
      <c r="F209" s="4" t="s">
        <v>153</v>
      </c>
      <c r="G209" s="4" t="s">
        <v>150</v>
      </c>
      <c r="H209" s="4" t="s">
        <v>150</v>
      </c>
      <c r="O209" s="57" t="s">
        <v>426</v>
      </c>
      <c r="P209" s="58">
        <v>1</v>
      </c>
    </row>
    <row r="210" spans="1:16" s="4" customFormat="1" x14ac:dyDescent="0.25">
      <c r="A210" s="4" t="s">
        <v>420</v>
      </c>
      <c r="B210" s="4" t="s">
        <v>145</v>
      </c>
      <c r="C210" s="4" t="s">
        <v>146</v>
      </c>
      <c r="D210" s="4" t="s">
        <v>155</v>
      </c>
      <c r="E210" s="60">
        <v>42355</v>
      </c>
      <c r="F210" s="4" t="s">
        <v>262</v>
      </c>
      <c r="G210" s="4" t="s">
        <v>150</v>
      </c>
      <c r="H210" s="4" t="s">
        <v>150</v>
      </c>
      <c r="O210" s="57" t="s">
        <v>428</v>
      </c>
      <c r="P210" s="58">
        <v>1</v>
      </c>
    </row>
    <row r="211" spans="1:16" s="4" customFormat="1" x14ac:dyDescent="0.25">
      <c r="A211" s="4" t="s">
        <v>421</v>
      </c>
      <c r="B211" s="4" t="s">
        <v>145</v>
      </c>
      <c r="C211" s="4" t="s">
        <v>146</v>
      </c>
      <c r="D211" s="4" t="s">
        <v>422</v>
      </c>
      <c r="E211" s="60">
        <v>42355</v>
      </c>
      <c r="F211" s="4" t="s">
        <v>423</v>
      </c>
      <c r="G211" s="4" t="s">
        <v>150</v>
      </c>
      <c r="H211" s="4" t="s">
        <v>150</v>
      </c>
      <c r="O211" s="57" t="s">
        <v>430</v>
      </c>
      <c r="P211" s="58">
        <v>1</v>
      </c>
    </row>
    <row r="212" spans="1:16" s="4" customFormat="1" x14ac:dyDescent="0.25">
      <c r="A212" s="4" t="s">
        <v>424</v>
      </c>
      <c r="B212" s="4" t="s">
        <v>145</v>
      </c>
      <c r="C212" s="4" t="s">
        <v>146</v>
      </c>
      <c r="D212" s="4" t="s">
        <v>175</v>
      </c>
      <c r="E212" s="60">
        <v>42355</v>
      </c>
      <c r="F212" s="4" t="s">
        <v>425</v>
      </c>
      <c r="G212" s="4" t="s">
        <v>150</v>
      </c>
      <c r="H212" s="4" t="s">
        <v>118</v>
      </c>
      <c r="O212" s="57" t="s">
        <v>431</v>
      </c>
      <c r="P212" s="58">
        <v>1</v>
      </c>
    </row>
    <row r="213" spans="1:16" s="4" customFormat="1" x14ac:dyDescent="0.25">
      <c r="A213" s="4" t="s">
        <v>424</v>
      </c>
      <c r="B213" s="4" t="s">
        <v>145</v>
      </c>
      <c r="C213" s="4" t="s">
        <v>146</v>
      </c>
      <c r="D213" s="4" t="s">
        <v>175</v>
      </c>
      <c r="E213" s="60">
        <v>42355</v>
      </c>
      <c r="F213" s="4" t="s">
        <v>425</v>
      </c>
      <c r="G213" s="4" t="s">
        <v>150</v>
      </c>
      <c r="H213" s="4" t="s">
        <v>150</v>
      </c>
      <c r="O213" s="57" t="s">
        <v>432</v>
      </c>
      <c r="P213" s="58">
        <v>1</v>
      </c>
    </row>
    <row r="214" spans="1:16" s="4" customFormat="1" x14ac:dyDescent="0.25">
      <c r="A214" s="4" t="s">
        <v>426</v>
      </c>
      <c r="B214" s="4" t="s">
        <v>145</v>
      </c>
      <c r="C214" s="4" t="s">
        <v>146</v>
      </c>
      <c r="D214" s="4" t="s">
        <v>155</v>
      </c>
      <c r="E214" s="60">
        <v>42355</v>
      </c>
      <c r="F214" s="4" t="s">
        <v>427</v>
      </c>
      <c r="G214" s="4" t="s">
        <v>150</v>
      </c>
      <c r="H214" s="4" t="s">
        <v>150</v>
      </c>
      <c r="O214" s="57" t="s">
        <v>433</v>
      </c>
      <c r="P214" s="58">
        <v>1</v>
      </c>
    </row>
    <row r="215" spans="1:16" s="4" customFormat="1" x14ac:dyDescent="0.25">
      <c r="A215" s="4" t="s">
        <v>428</v>
      </c>
      <c r="B215" s="4" t="s">
        <v>145</v>
      </c>
      <c r="C215" s="4" t="s">
        <v>146</v>
      </c>
      <c r="D215" s="4" t="s">
        <v>155</v>
      </c>
      <c r="E215" s="60">
        <v>42355</v>
      </c>
      <c r="F215" s="4" t="s">
        <v>429</v>
      </c>
      <c r="G215" s="4" t="s">
        <v>150</v>
      </c>
      <c r="H215" s="4" t="s">
        <v>150</v>
      </c>
      <c r="O215" s="57" t="s">
        <v>434</v>
      </c>
      <c r="P215" s="58">
        <v>1</v>
      </c>
    </row>
    <row r="216" spans="1:16" s="4" customFormat="1" x14ac:dyDescent="0.25">
      <c r="A216" s="4" t="s">
        <v>430</v>
      </c>
      <c r="B216" s="4" t="s">
        <v>145</v>
      </c>
      <c r="C216" s="4" t="s">
        <v>146</v>
      </c>
      <c r="D216" s="4" t="s">
        <v>155</v>
      </c>
      <c r="E216" s="60">
        <v>42355</v>
      </c>
      <c r="F216" s="4" t="s">
        <v>156</v>
      </c>
      <c r="G216" s="4" t="s">
        <v>150</v>
      </c>
      <c r="H216" s="4" t="s">
        <v>150</v>
      </c>
      <c r="O216" s="57" t="s">
        <v>435</v>
      </c>
      <c r="P216" s="58">
        <v>1</v>
      </c>
    </row>
    <row r="217" spans="1:16" s="4" customFormat="1" x14ac:dyDescent="0.25">
      <c r="A217" s="4" t="s">
        <v>431</v>
      </c>
      <c r="B217" s="4" t="s">
        <v>145</v>
      </c>
      <c r="C217" s="4" t="s">
        <v>146</v>
      </c>
      <c r="D217" s="4" t="s">
        <v>152</v>
      </c>
      <c r="E217" s="60">
        <v>42355</v>
      </c>
      <c r="F217" s="4" t="s">
        <v>153</v>
      </c>
      <c r="G217" s="4" t="s">
        <v>150</v>
      </c>
      <c r="H217" s="4" t="s">
        <v>150</v>
      </c>
      <c r="O217" s="57" t="s">
        <v>436</v>
      </c>
      <c r="P217" s="58">
        <v>1</v>
      </c>
    </row>
    <row r="218" spans="1:16" s="4" customFormat="1" x14ac:dyDescent="0.25">
      <c r="A218" s="4" t="s">
        <v>432</v>
      </c>
      <c r="B218" s="4" t="s">
        <v>145</v>
      </c>
      <c r="C218" s="4" t="s">
        <v>146</v>
      </c>
      <c r="D218" s="4" t="s">
        <v>152</v>
      </c>
      <c r="E218" s="60">
        <v>42355</v>
      </c>
      <c r="F218" s="4" t="s">
        <v>153</v>
      </c>
      <c r="G218" s="4" t="s">
        <v>150</v>
      </c>
      <c r="H218" s="4" t="s">
        <v>150</v>
      </c>
      <c r="O218" s="57" t="s">
        <v>437</v>
      </c>
      <c r="P218" s="58">
        <v>1</v>
      </c>
    </row>
    <row r="219" spans="1:16" s="4" customFormat="1" x14ac:dyDescent="0.25">
      <c r="A219" s="4" t="s">
        <v>433</v>
      </c>
      <c r="B219" s="4" t="s">
        <v>145</v>
      </c>
      <c r="C219" s="4" t="s">
        <v>146</v>
      </c>
      <c r="D219" s="4" t="s">
        <v>155</v>
      </c>
      <c r="E219" s="60">
        <v>42355</v>
      </c>
      <c r="F219" s="4" t="s">
        <v>226</v>
      </c>
      <c r="G219" s="4" t="s">
        <v>150</v>
      </c>
      <c r="H219" s="4" t="s">
        <v>150</v>
      </c>
      <c r="O219" s="57" t="s">
        <v>438</v>
      </c>
      <c r="P219" s="58">
        <v>1</v>
      </c>
    </row>
    <row r="220" spans="1:16" s="4" customFormat="1" x14ac:dyDescent="0.25">
      <c r="A220" s="4" t="s">
        <v>434</v>
      </c>
      <c r="B220" s="4" t="s">
        <v>145</v>
      </c>
      <c r="C220" s="4" t="s">
        <v>146</v>
      </c>
      <c r="D220" s="4" t="s">
        <v>155</v>
      </c>
      <c r="E220" s="60">
        <v>42355</v>
      </c>
      <c r="F220" s="4" t="s">
        <v>226</v>
      </c>
      <c r="G220" s="4" t="s">
        <v>150</v>
      </c>
      <c r="H220" s="4" t="s">
        <v>150</v>
      </c>
      <c r="O220" s="57" t="s">
        <v>440</v>
      </c>
      <c r="P220" s="58">
        <v>1</v>
      </c>
    </row>
    <row r="221" spans="1:16" s="4" customFormat="1" x14ac:dyDescent="0.25">
      <c r="A221" s="4" t="s">
        <v>435</v>
      </c>
      <c r="B221" s="4" t="s">
        <v>145</v>
      </c>
      <c r="C221" s="4" t="s">
        <v>146</v>
      </c>
      <c r="D221" s="4" t="s">
        <v>155</v>
      </c>
      <c r="E221" s="60">
        <v>42355</v>
      </c>
      <c r="F221" s="4" t="s">
        <v>199</v>
      </c>
      <c r="G221" s="4" t="s">
        <v>150</v>
      </c>
      <c r="H221" s="4" t="s">
        <v>150</v>
      </c>
      <c r="O221" s="57" t="s">
        <v>442</v>
      </c>
      <c r="P221" s="58">
        <v>1</v>
      </c>
    </row>
    <row r="222" spans="1:16" s="4" customFormat="1" x14ac:dyDescent="0.25">
      <c r="A222" s="4" t="s">
        <v>436</v>
      </c>
      <c r="B222" s="4" t="s">
        <v>145</v>
      </c>
      <c r="C222" s="4" t="s">
        <v>146</v>
      </c>
      <c r="D222" s="4" t="s">
        <v>155</v>
      </c>
      <c r="E222" s="60">
        <v>42355</v>
      </c>
      <c r="F222" s="4" t="s">
        <v>199</v>
      </c>
      <c r="G222" s="4" t="s">
        <v>150</v>
      </c>
      <c r="H222" s="4" t="s">
        <v>150</v>
      </c>
      <c r="O222" s="57" t="s">
        <v>444</v>
      </c>
      <c r="P222" s="58">
        <v>1</v>
      </c>
    </row>
    <row r="223" spans="1:16" s="4" customFormat="1" x14ac:dyDescent="0.25">
      <c r="A223" s="4" t="s">
        <v>437</v>
      </c>
      <c r="B223" s="4" t="s">
        <v>145</v>
      </c>
      <c r="C223" s="4" t="s">
        <v>146</v>
      </c>
      <c r="D223" s="4" t="s">
        <v>155</v>
      </c>
      <c r="E223" s="60">
        <v>42355</v>
      </c>
      <c r="F223" s="4" t="s">
        <v>232</v>
      </c>
      <c r="G223" s="4" t="s">
        <v>150</v>
      </c>
      <c r="H223" s="4" t="s">
        <v>150</v>
      </c>
      <c r="O223" s="57" t="s">
        <v>446</v>
      </c>
      <c r="P223" s="58">
        <v>1</v>
      </c>
    </row>
    <row r="224" spans="1:16" s="4" customFormat="1" x14ac:dyDescent="0.25">
      <c r="A224" s="4" t="s">
        <v>438</v>
      </c>
      <c r="B224" s="4" t="s">
        <v>145</v>
      </c>
      <c r="C224" s="4" t="s">
        <v>146</v>
      </c>
      <c r="D224" s="4" t="s">
        <v>155</v>
      </c>
      <c r="E224" s="60">
        <v>42355</v>
      </c>
      <c r="F224" s="4" t="s">
        <v>439</v>
      </c>
      <c r="G224" s="4" t="s">
        <v>150</v>
      </c>
      <c r="H224" s="4" t="s">
        <v>150</v>
      </c>
      <c r="O224" s="57" t="s">
        <v>447</v>
      </c>
      <c r="P224" s="58">
        <v>1</v>
      </c>
    </row>
    <row r="225" spans="1:16" s="4" customFormat="1" x14ac:dyDescent="0.25">
      <c r="A225" s="4" t="s">
        <v>440</v>
      </c>
      <c r="B225" s="4" t="s">
        <v>145</v>
      </c>
      <c r="C225" s="4" t="s">
        <v>146</v>
      </c>
      <c r="D225" s="4" t="s">
        <v>155</v>
      </c>
      <c r="E225" s="60">
        <v>42355</v>
      </c>
      <c r="F225" s="4" t="s">
        <v>441</v>
      </c>
      <c r="G225" s="4" t="s">
        <v>150</v>
      </c>
      <c r="H225" s="4" t="s">
        <v>150</v>
      </c>
      <c r="O225" s="57" t="s">
        <v>448</v>
      </c>
      <c r="P225" s="58">
        <v>1</v>
      </c>
    </row>
    <row r="226" spans="1:16" s="4" customFormat="1" x14ac:dyDescent="0.25">
      <c r="A226" s="4" t="s">
        <v>442</v>
      </c>
      <c r="B226" s="4" t="s">
        <v>145</v>
      </c>
      <c r="C226" s="4" t="s">
        <v>146</v>
      </c>
      <c r="D226" s="4" t="s">
        <v>155</v>
      </c>
      <c r="E226" s="60">
        <v>42355</v>
      </c>
      <c r="F226" s="4" t="s">
        <v>443</v>
      </c>
      <c r="G226" s="4" t="s">
        <v>150</v>
      </c>
      <c r="H226" s="4" t="s">
        <v>416</v>
      </c>
      <c r="O226" s="57" t="s">
        <v>449</v>
      </c>
      <c r="P226" s="58">
        <v>1</v>
      </c>
    </row>
    <row r="227" spans="1:16" s="4" customFormat="1" x14ac:dyDescent="0.25">
      <c r="A227" s="4" t="s">
        <v>444</v>
      </c>
      <c r="B227" s="4" t="s">
        <v>145</v>
      </c>
      <c r="C227" s="4" t="s">
        <v>146</v>
      </c>
      <c r="D227" s="4" t="s">
        <v>147</v>
      </c>
      <c r="E227" s="60">
        <v>42355</v>
      </c>
      <c r="F227" s="4" t="s">
        <v>445</v>
      </c>
      <c r="G227" s="4" t="s">
        <v>149</v>
      </c>
      <c r="H227" s="4" t="s">
        <v>118</v>
      </c>
      <c r="O227" s="57" t="s">
        <v>451</v>
      </c>
      <c r="P227" s="58">
        <v>1</v>
      </c>
    </row>
    <row r="228" spans="1:16" s="4" customFormat="1" x14ac:dyDescent="0.25">
      <c r="A228" s="4" t="s">
        <v>446</v>
      </c>
      <c r="B228" s="4" t="s">
        <v>145</v>
      </c>
      <c r="C228" s="4" t="s">
        <v>146</v>
      </c>
      <c r="D228" s="4" t="s">
        <v>152</v>
      </c>
      <c r="E228" s="60">
        <v>42355</v>
      </c>
      <c r="F228" s="4" t="s">
        <v>153</v>
      </c>
      <c r="G228" s="4" t="s">
        <v>150</v>
      </c>
      <c r="H228" s="4" t="s">
        <v>150</v>
      </c>
      <c r="O228" s="57" t="s">
        <v>452</v>
      </c>
      <c r="P228" s="58">
        <v>1</v>
      </c>
    </row>
    <row r="229" spans="1:16" s="4" customFormat="1" x14ac:dyDescent="0.25">
      <c r="A229" s="4" t="s">
        <v>447</v>
      </c>
      <c r="B229" s="4" t="s">
        <v>145</v>
      </c>
      <c r="C229" s="4" t="s">
        <v>146</v>
      </c>
      <c r="D229" s="4" t="s">
        <v>152</v>
      </c>
      <c r="E229" s="60">
        <v>42355</v>
      </c>
      <c r="F229" s="4" t="s">
        <v>153</v>
      </c>
      <c r="G229" s="4" t="s">
        <v>150</v>
      </c>
      <c r="H229" s="4" t="s">
        <v>150</v>
      </c>
      <c r="O229" s="57" t="s">
        <v>453</v>
      </c>
      <c r="P229" s="58">
        <v>1</v>
      </c>
    </row>
    <row r="230" spans="1:16" s="4" customFormat="1" x14ac:dyDescent="0.25">
      <c r="A230" s="4" t="s">
        <v>448</v>
      </c>
      <c r="B230" s="4" t="s">
        <v>145</v>
      </c>
      <c r="C230" s="4" t="s">
        <v>146</v>
      </c>
      <c r="D230" s="4" t="s">
        <v>155</v>
      </c>
      <c r="E230" s="60">
        <v>42355</v>
      </c>
      <c r="F230" s="4" t="s">
        <v>199</v>
      </c>
      <c r="G230" s="4" t="s">
        <v>150</v>
      </c>
      <c r="H230" s="4" t="s">
        <v>150</v>
      </c>
      <c r="O230" s="57" t="s">
        <v>454</v>
      </c>
      <c r="P230" s="58">
        <v>1</v>
      </c>
    </row>
    <row r="231" spans="1:16" s="4" customFormat="1" x14ac:dyDescent="0.25">
      <c r="A231" s="4" t="s">
        <v>449</v>
      </c>
      <c r="B231" s="4" t="s">
        <v>145</v>
      </c>
      <c r="C231" s="4" t="s">
        <v>146</v>
      </c>
      <c r="D231" s="4" t="s">
        <v>155</v>
      </c>
      <c r="E231" s="60">
        <v>42355</v>
      </c>
      <c r="F231" s="4" t="s">
        <v>450</v>
      </c>
      <c r="G231" s="4" t="s">
        <v>150</v>
      </c>
      <c r="H231" s="4" t="s">
        <v>150</v>
      </c>
      <c r="O231" s="57" t="s">
        <v>455</v>
      </c>
      <c r="P231" s="58">
        <v>1</v>
      </c>
    </row>
    <row r="232" spans="1:16" s="4" customFormat="1" x14ac:dyDescent="0.25">
      <c r="A232" s="4" t="s">
        <v>451</v>
      </c>
      <c r="B232" s="4" t="s">
        <v>145</v>
      </c>
      <c r="C232" s="4" t="s">
        <v>146</v>
      </c>
      <c r="D232" s="4" t="s">
        <v>152</v>
      </c>
      <c r="E232" s="60">
        <v>42355</v>
      </c>
      <c r="F232" s="4" t="s">
        <v>153</v>
      </c>
      <c r="G232" s="4" t="s">
        <v>150</v>
      </c>
      <c r="H232" s="4" t="s">
        <v>150</v>
      </c>
      <c r="O232" s="57" t="s">
        <v>456</v>
      </c>
      <c r="P232" s="58">
        <v>1</v>
      </c>
    </row>
    <row r="233" spans="1:16" s="4" customFormat="1" x14ac:dyDescent="0.25">
      <c r="A233" s="4" t="s">
        <v>452</v>
      </c>
      <c r="B233" s="4" t="s">
        <v>145</v>
      </c>
      <c r="C233" s="4" t="s">
        <v>146</v>
      </c>
      <c r="D233" s="4" t="s">
        <v>155</v>
      </c>
      <c r="E233" s="60">
        <v>42355</v>
      </c>
      <c r="F233" s="4" t="s">
        <v>159</v>
      </c>
      <c r="G233" s="4" t="s">
        <v>150</v>
      </c>
      <c r="H233" s="4" t="s">
        <v>150</v>
      </c>
      <c r="O233" s="57" t="s">
        <v>457</v>
      </c>
      <c r="P233" s="58">
        <v>1</v>
      </c>
    </row>
    <row r="234" spans="1:16" s="4" customFormat="1" x14ac:dyDescent="0.25">
      <c r="A234" s="4" t="s">
        <v>453</v>
      </c>
      <c r="B234" s="4" t="s">
        <v>145</v>
      </c>
      <c r="C234" s="4" t="s">
        <v>146</v>
      </c>
      <c r="D234" s="4" t="s">
        <v>152</v>
      </c>
      <c r="E234" s="60">
        <v>42355</v>
      </c>
      <c r="F234" s="4" t="s">
        <v>153</v>
      </c>
      <c r="G234" s="4" t="s">
        <v>150</v>
      </c>
      <c r="H234" s="4" t="s">
        <v>150</v>
      </c>
      <c r="O234" s="57" t="s">
        <v>458</v>
      </c>
      <c r="P234" s="58">
        <v>1</v>
      </c>
    </row>
    <row r="235" spans="1:16" s="4" customFormat="1" x14ac:dyDescent="0.25">
      <c r="A235" s="4" t="s">
        <v>454</v>
      </c>
      <c r="B235" s="4" t="s">
        <v>145</v>
      </c>
      <c r="C235" s="4" t="s">
        <v>146</v>
      </c>
      <c r="D235" s="4" t="s">
        <v>152</v>
      </c>
      <c r="E235" s="60">
        <v>42355</v>
      </c>
      <c r="F235" s="4" t="s">
        <v>153</v>
      </c>
      <c r="G235" s="4" t="s">
        <v>150</v>
      </c>
      <c r="H235" s="4" t="s">
        <v>150</v>
      </c>
      <c r="O235" s="57" t="s">
        <v>459</v>
      </c>
      <c r="P235" s="58">
        <v>1</v>
      </c>
    </row>
    <row r="236" spans="1:16" s="4" customFormat="1" x14ac:dyDescent="0.25">
      <c r="A236" s="4" t="s">
        <v>455</v>
      </c>
      <c r="B236" s="4" t="s">
        <v>145</v>
      </c>
      <c r="C236" s="4" t="s">
        <v>146</v>
      </c>
      <c r="D236" s="4" t="s">
        <v>152</v>
      </c>
      <c r="E236" s="60">
        <v>42355</v>
      </c>
      <c r="F236" s="4" t="s">
        <v>153</v>
      </c>
      <c r="G236" s="4" t="s">
        <v>150</v>
      </c>
      <c r="H236" s="4" t="s">
        <v>150</v>
      </c>
      <c r="O236" s="57" t="s">
        <v>460</v>
      </c>
      <c r="P236" s="58">
        <v>1</v>
      </c>
    </row>
    <row r="237" spans="1:16" s="4" customFormat="1" x14ac:dyDescent="0.25">
      <c r="A237" s="4" t="s">
        <v>456</v>
      </c>
      <c r="B237" s="4" t="s">
        <v>145</v>
      </c>
      <c r="C237" s="4" t="s">
        <v>146</v>
      </c>
      <c r="D237" s="4" t="s">
        <v>152</v>
      </c>
      <c r="E237" s="60">
        <v>42356</v>
      </c>
      <c r="F237" s="4" t="s">
        <v>153</v>
      </c>
      <c r="G237" s="4" t="s">
        <v>150</v>
      </c>
      <c r="H237" s="4" t="s">
        <v>150</v>
      </c>
      <c r="O237" s="57" t="s">
        <v>461</v>
      </c>
      <c r="P237" s="58">
        <v>1</v>
      </c>
    </row>
    <row r="238" spans="1:16" s="4" customFormat="1" x14ac:dyDescent="0.25">
      <c r="A238" s="4" t="s">
        <v>457</v>
      </c>
      <c r="B238" s="4" t="s">
        <v>145</v>
      </c>
      <c r="C238" s="4" t="s">
        <v>146</v>
      </c>
      <c r="D238" s="4" t="s">
        <v>152</v>
      </c>
      <c r="E238" s="60">
        <v>42356</v>
      </c>
      <c r="F238" s="4" t="s">
        <v>153</v>
      </c>
      <c r="G238" s="4" t="s">
        <v>150</v>
      </c>
      <c r="H238" s="4" t="s">
        <v>150</v>
      </c>
      <c r="O238" s="57" t="s">
        <v>462</v>
      </c>
      <c r="P238" s="58">
        <v>1</v>
      </c>
    </row>
    <row r="239" spans="1:16" s="4" customFormat="1" x14ac:dyDescent="0.25">
      <c r="A239" s="4" t="s">
        <v>458</v>
      </c>
      <c r="B239" s="4" t="s">
        <v>145</v>
      </c>
      <c r="C239" s="4" t="s">
        <v>146</v>
      </c>
      <c r="D239" s="4" t="s">
        <v>152</v>
      </c>
      <c r="E239" s="60">
        <v>42356</v>
      </c>
      <c r="F239" s="4" t="s">
        <v>153</v>
      </c>
      <c r="G239" s="4" t="s">
        <v>150</v>
      </c>
      <c r="H239" s="4" t="s">
        <v>150</v>
      </c>
      <c r="O239" s="57" t="s">
        <v>464</v>
      </c>
      <c r="P239" s="58">
        <v>1</v>
      </c>
    </row>
    <row r="240" spans="1:16" s="4" customFormat="1" x14ac:dyDescent="0.25">
      <c r="A240" s="4" t="s">
        <v>459</v>
      </c>
      <c r="B240" s="4" t="s">
        <v>145</v>
      </c>
      <c r="C240" s="4" t="s">
        <v>146</v>
      </c>
      <c r="D240" s="4" t="s">
        <v>152</v>
      </c>
      <c r="E240" s="60">
        <v>42356</v>
      </c>
      <c r="F240" s="4" t="s">
        <v>153</v>
      </c>
      <c r="G240" s="4" t="s">
        <v>150</v>
      </c>
      <c r="H240" s="4" t="s">
        <v>150</v>
      </c>
      <c r="O240" s="57" t="s">
        <v>466</v>
      </c>
      <c r="P240" s="58">
        <v>1</v>
      </c>
    </row>
    <row r="241" spans="1:16" s="4" customFormat="1" x14ac:dyDescent="0.25">
      <c r="A241" s="4" t="s">
        <v>460</v>
      </c>
      <c r="B241" s="4" t="s">
        <v>145</v>
      </c>
      <c r="C241" s="4" t="s">
        <v>146</v>
      </c>
      <c r="D241" s="4" t="s">
        <v>152</v>
      </c>
      <c r="E241" s="60">
        <v>42356</v>
      </c>
      <c r="F241" s="4" t="s">
        <v>153</v>
      </c>
      <c r="G241" s="4" t="s">
        <v>150</v>
      </c>
      <c r="H241" s="4" t="s">
        <v>150</v>
      </c>
      <c r="O241" s="57" t="s">
        <v>468</v>
      </c>
      <c r="P241" s="58">
        <v>1</v>
      </c>
    </row>
    <row r="242" spans="1:16" s="4" customFormat="1" x14ac:dyDescent="0.25">
      <c r="A242" s="4" t="s">
        <v>461</v>
      </c>
      <c r="B242" s="4" t="s">
        <v>145</v>
      </c>
      <c r="C242" s="4" t="s">
        <v>146</v>
      </c>
      <c r="D242" s="4" t="s">
        <v>155</v>
      </c>
      <c r="E242" s="60">
        <v>42356</v>
      </c>
      <c r="F242" s="4" t="s">
        <v>172</v>
      </c>
      <c r="G242" s="4" t="s">
        <v>150</v>
      </c>
      <c r="H242" s="4" t="s">
        <v>150</v>
      </c>
      <c r="O242" s="57" t="s">
        <v>469</v>
      </c>
      <c r="P242" s="58">
        <v>1</v>
      </c>
    </row>
    <row r="243" spans="1:16" s="4" customFormat="1" x14ac:dyDescent="0.25">
      <c r="A243" s="4" t="s">
        <v>462</v>
      </c>
      <c r="B243" s="4" t="s">
        <v>145</v>
      </c>
      <c r="C243" s="4" t="s">
        <v>146</v>
      </c>
      <c r="D243" s="4" t="s">
        <v>155</v>
      </c>
      <c r="E243" s="60">
        <v>42356</v>
      </c>
      <c r="F243" s="4" t="s">
        <v>463</v>
      </c>
      <c r="G243" s="4" t="s">
        <v>150</v>
      </c>
      <c r="H243" s="4" t="s">
        <v>128</v>
      </c>
      <c r="O243" s="57" t="s">
        <v>470</v>
      </c>
      <c r="P243" s="58">
        <v>1</v>
      </c>
    </row>
    <row r="244" spans="1:16" s="4" customFormat="1" x14ac:dyDescent="0.25">
      <c r="A244" s="4" t="s">
        <v>464</v>
      </c>
      <c r="B244" s="4" t="s">
        <v>145</v>
      </c>
      <c r="C244" s="4" t="s">
        <v>146</v>
      </c>
      <c r="D244" s="4" t="s">
        <v>175</v>
      </c>
      <c r="E244" s="60">
        <v>42356</v>
      </c>
      <c r="F244" s="4" t="s">
        <v>465</v>
      </c>
      <c r="G244" s="4" t="s">
        <v>150</v>
      </c>
      <c r="H244" s="4" t="s">
        <v>118</v>
      </c>
      <c r="O244" s="57" t="s">
        <v>472</v>
      </c>
      <c r="P244" s="58">
        <v>1</v>
      </c>
    </row>
    <row r="245" spans="1:16" s="4" customFormat="1" x14ac:dyDescent="0.25">
      <c r="A245" s="4" t="s">
        <v>466</v>
      </c>
      <c r="B245" s="4" t="s">
        <v>145</v>
      </c>
      <c r="C245" s="4" t="s">
        <v>146</v>
      </c>
      <c r="D245" s="4" t="s">
        <v>155</v>
      </c>
      <c r="E245" s="60">
        <v>42356</v>
      </c>
      <c r="F245" s="4" t="s">
        <v>467</v>
      </c>
      <c r="G245" s="4" t="s">
        <v>150</v>
      </c>
      <c r="H245" s="4" t="s">
        <v>150</v>
      </c>
      <c r="O245" s="57" t="s">
        <v>473</v>
      </c>
      <c r="P245" s="58">
        <v>1</v>
      </c>
    </row>
    <row r="246" spans="1:16" s="4" customFormat="1" x14ac:dyDescent="0.25">
      <c r="A246" s="4" t="s">
        <v>468</v>
      </c>
      <c r="B246" s="4" t="s">
        <v>145</v>
      </c>
      <c r="C246" s="4" t="s">
        <v>146</v>
      </c>
      <c r="D246" s="4" t="s">
        <v>152</v>
      </c>
      <c r="E246" s="60">
        <v>42356</v>
      </c>
      <c r="F246" s="4" t="s">
        <v>153</v>
      </c>
      <c r="G246" s="4" t="s">
        <v>150</v>
      </c>
      <c r="H246" s="4" t="s">
        <v>150</v>
      </c>
      <c r="O246" s="57" t="s">
        <v>474</v>
      </c>
      <c r="P246" s="58">
        <v>1</v>
      </c>
    </row>
    <row r="247" spans="1:16" s="4" customFormat="1" x14ac:dyDescent="0.25">
      <c r="A247" s="4" t="s">
        <v>469</v>
      </c>
      <c r="B247" s="4" t="s">
        <v>145</v>
      </c>
      <c r="C247" s="4" t="s">
        <v>146</v>
      </c>
      <c r="D247" s="4" t="s">
        <v>155</v>
      </c>
      <c r="E247" s="60">
        <v>42356</v>
      </c>
      <c r="F247" s="4" t="s">
        <v>467</v>
      </c>
      <c r="G247" s="4" t="s">
        <v>150</v>
      </c>
      <c r="H247" s="4" t="s">
        <v>150</v>
      </c>
      <c r="O247" s="57" t="s">
        <v>475</v>
      </c>
      <c r="P247" s="58">
        <v>1</v>
      </c>
    </row>
    <row r="248" spans="1:16" s="4" customFormat="1" x14ac:dyDescent="0.25">
      <c r="A248" s="4" t="s">
        <v>470</v>
      </c>
      <c r="B248" s="4" t="s">
        <v>145</v>
      </c>
      <c r="C248" s="4" t="s">
        <v>146</v>
      </c>
      <c r="D248" s="4" t="s">
        <v>155</v>
      </c>
      <c r="E248" s="60">
        <v>42356</v>
      </c>
      <c r="F248" s="4" t="s">
        <v>471</v>
      </c>
      <c r="G248" s="4" t="s">
        <v>150</v>
      </c>
      <c r="H248" s="4" t="s">
        <v>150</v>
      </c>
      <c r="O248" s="57" t="s">
        <v>476</v>
      </c>
      <c r="P248" s="58">
        <v>1</v>
      </c>
    </row>
    <row r="249" spans="1:16" s="4" customFormat="1" x14ac:dyDescent="0.25">
      <c r="A249" s="4" t="s">
        <v>472</v>
      </c>
      <c r="B249" s="4" t="s">
        <v>145</v>
      </c>
      <c r="C249" s="4" t="s">
        <v>146</v>
      </c>
      <c r="D249" s="4" t="s">
        <v>147</v>
      </c>
      <c r="E249" s="60">
        <v>42356</v>
      </c>
      <c r="F249" s="4" t="s">
        <v>159</v>
      </c>
      <c r="G249" s="4" t="s">
        <v>149</v>
      </c>
      <c r="H249" s="4" t="s">
        <v>150</v>
      </c>
      <c r="O249" s="57" t="s">
        <v>477</v>
      </c>
      <c r="P249" s="58">
        <v>1</v>
      </c>
    </row>
    <row r="250" spans="1:16" s="4" customFormat="1" x14ac:dyDescent="0.25">
      <c r="A250" s="4" t="s">
        <v>473</v>
      </c>
      <c r="B250" s="4" t="s">
        <v>145</v>
      </c>
      <c r="C250" s="4" t="s">
        <v>146</v>
      </c>
      <c r="D250" s="4" t="s">
        <v>155</v>
      </c>
      <c r="E250" s="60">
        <v>42356</v>
      </c>
      <c r="F250" s="4" t="s">
        <v>467</v>
      </c>
      <c r="G250" s="4" t="s">
        <v>150</v>
      </c>
      <c r="H250" s="4" t="s">
        <v>150</v>
      </c>
      <c r="O250" s="57" t="s">
        <v>478</v>
      </c>
      <c r="P250" s="58">
        <v>1</v>
      </c>
    </row>
    <row r="251" spans="1:16" s="4" customFormat="1" x14ac:dyDescent="0.25">
      <c r="A251" s="4" t="s">
        <v>474</v>
      </c>
      <c r="B251" s="4" t="s">
        <v>145</v>
      </c>
      <c r="C251" s="4" t="s">
        <v>146</v>
      </c>
      <c r="D251" s="4" t="s">
        <v>152</v>
      </c>
      <c r="E251" s="60">
        <v>42356</v>
      </c>
      <c r="F251" s="4" t="s">
        <v>153</v>
      </c>
      <c r="G251" s="4" t="s">
        <v>150</v>
      </c>
      <c r="H251" s="4" t="s">
        <v>150</v>
      </c>
      <c r="O251" s="57" t="s">
        <v>479</v>
      </c>
      <c r="P251" s="58">
        <v>1</v>
      </c>
    </row>
    <row r="252" spans="1:16" s="4" customFormat="1" x14ac:dyDescent="0.25">
      <c r="A252" s="4" t="s">
        <v>475</v>
      </c>
      <c r="B252" s="4" t="s">
        <v>145</v>
      </c>
      <c r="C252" s="4" t="s">
        <v>146</v>
      </c>
      <c r="D252" s="4" t="s">
        <v>147</v>
      </c>
      <c r="E252" s="60">
        <v>42356</v>
      </c>
      <c r="F252" s="4" t="s">
        <v>159</v>
      </c>
      <c r="G252" s="4" t="s">
        <v>149</v>
      </c>
      <c r="H252" s="4" t="s">
        <v>150</v>
      </c>
      <c r="O252" s="57" t="s">
        <v>480</v>
      </c>
      <c r="P252" s="58">
        <v>1</v>
      </c>
    </row>
    <row r="253" spans="1:16" s="4" customFormat="1" x14ac:dyDescent="0.25">
      <c r="A253" s="4" t="s">
        <v>476</v>
      </c>
      <c r="B253" s="4" t="s">
        <v>145</v>
      </c>
      <c r="C253" s="4" t="s">
        <v>146</v>
      </c>
      <c r="D253" s="4" t="s">
        <v>155</v>
      </c>
      <c r="E253" s="60">
        <v>42356</v>
      </c>
      <c r="F253" s="4" t="s">
        <v>467</v>
      </c>
      <c r="G253" s="4" t="s">
        <v>150</v>
      </c>
      <c r="H253" s="4" t="s">
        <v>150</v>
      </c>
      <c r="O253" s="57" t="s">
        <v>481</v>
      </c>
      <c r="P253" s="58">
        <v>1</v>
      </c>
    </row>
    <row r="254" spans="1:16" s="4" customFormat="1" x14ac:dyDescent="0.25">
      <c r="A254" s="4" t="s">
        <v>477</v>
      </c>
      <c r="B254" s="4" t="s">
        <v>145</v>
      </c>
      <c r="C254" s="4" t="s">
        <v>146</v>
      </c>
      <c r="D254" s="4" t="s">
        <v>155</v>
      </c>
      <c r="E254" s="60">
        <v>42356</v>
      </c>
      <c r="F254" s="4" t="s">
        <v>467</v>
      </c>
      <c r="G254" s="4" t="s">
        <v>150</v>
      </c>
      <c r="H254" s="4" t="s">
        <v>150</v>
      </c>
      <c r="O254" s="57" t="s">
        <v>482</v>
      </c>
      <c r="P254" s="58">
        <v>1</v>
      </c>
    </row>
    <row r="255" spans="1:16" s="4" customFormat="1" x14ac:dyDescent="0.25">
      <c r="A255" s="4" t="s">
        <v>478</v>
      </c>
      <c r="B255" s="4" t="s">
        <v>145</v>
      </c>
      <c r="C255" s="4" t="s">
        <v>146</v>
      </c>
      <c r="D255" s="4" t="s">
        <v>152</v>
      </c>
      <c r="E255" s="60">
        <v>42356</v>
      </c>
      <c r="F255" s="4" t="s">
        <v>153</v>
      </c>
      <c r="G255" s="4" t="s">
        <v>150</v>
      </c>
      <c r="H255" s="4" t="s">
        <v>150</v>
      </c>
      <c r="O255" s="57" t="s">
        <v>483</v>
      </c>
      <c r="P255" s="58">
        <v>1</v>
      </c>
    </row>
    <row r="256" spans="1:16" s="4" customFormat="1" x14ac:dyDescent="0.25">
      <c r="A256" s="4" t="s">
        <v>479</v>
      </c>
      <c r="B256" s="4" t="s">
        <v>145</v>
      </c>
      <c r="C256" s="4" t="s">
        <v>146</v>
      </c>
      <c r="D256" s="4" t="s">
        <v>155</v>
      </c>
      <c r="E256" s="60">
        <v>42356</v>
      </c>
      <c r="F256" s="4" t="s">
        <v>232</v>
      </c>
      <c r="G256" s="4" t="s">
        <v>150</v>
      </c>
      <c r="H256" s="4" t="s">
        <v>150</v>
      </c>
      <c r="O256" s="57" t="s">
        <v>484</v>
      </c>
      <c r="P256" s="58">
        <v>1</v>
      </c>
    </row>
    <row r="257" spans="1:16" s="4" customFormat="1" x14ac:dyDescent="0.25">
      <c r="A257" s="4" t="s">
        <v>480</v>
      </c>
      <c r="B257" s="4" t="s">
        <v>145</v>
      </c>
      <c r="C257" s="4" t="s">
        <v>146</v>
      </c>
      <c r="D257" s="4" t="s">
        <v>152</v>
      </c>
      <c r="E257" s="60">
        <v>42356</v>
      </c>
      <c r="F257" s="4" t="s">
        <v>267</v>
      </c>
      <c r="G257" s="4" t="s">
        <v>150</v>
      </c>
      <c r="H257" s="4" t="s">
        <v>124</v>
      </c>
      <c r="O257" s="57" t="s">
        <v>486</v>
      </c>
      <c r="P257" s="58">
        <v>260</v>
      </c>
    </row>
    <row r="258" spans="1:16" s="4" customFormat="1" x14ac:dyDescent="0.25">
      <c r="A258" s="4" t="s">
        <v>481</v>
      </c>
      <c r="B258" s="4" t="s">
        <v>145</v>
      </c>
      <c r="C258" s="4" t="s">
        <v>146</v>
      </c>
      <c r="D258" s="4" t="s">
        <v>152</v>
      </c>
      <c r="E258" s="60">
        <v>42356</v>
      </c>
      <c r="F258" s="4" t="s">
        <v>153</v>
      </c>
      <c r="G258" s="4" t="s">
        <v>150</v>
      </c>
      <c r="H258" s="4" t="s">
        <v>150</v>
      </c>
    </row>
    <row r="259" spans="1:16" s="4" customFormat="1" x14ac:dyDescent="0.25">
      <c r="A259" s="4" t="s">
        <v>482</v>
      </c>
      <c r="B259" s="4" t="s">
        <v>145</v>
      </c>
      <c r="C259" s="4" t="s">
        <v>146</v>
      </c>
      <c r="D259" s="4" t="s">
        <v>152</v>
      </c>
      <c r="E259" s="60">
        <v>42356</v>
      </c>
      <c r="F259" s="4" t="s">
        <v>153</v>
      </c>
      <c r="G259" s="4" t="s">
        <v>150</v>
      </c>
      <c r="H259" s="4" t="s">
        <v>150</v>
      </c>
    </row>
    <row r="260" spans="1:16" s="4" customFormat="1" x14ac:dyDescent="0.25">
      <c r="A260" s="4" t="s">
        <v>483</v>
      </c>
      <c r="B260" s="4" t="s">
        <v>145</v>
      </c>
      <c r="C260" s="4" t="s">
        <v>146</v>
      </c>
      <c r="D260" s="4" t="s">
        <v>155</v>
      </c>
      <c r="E260" s="60">
        <v>42356</v>
      </c>
      <c r="F260" s="4" t="s">
        <v>226</v>
      </c>
      <c r="G260" s="4" t="s">
        <v>150</v>
      </c>
      <c r="H260" s="4" t="s">
        <v>150</v>
      </c>
    </row>
    <row r="261" spans="1:16" s="4" customFormat="1" x14ac:dyDescent="0.25">
      <c r="A261" s="4" t="s">
        <v>484</v>
      </c>
      <c r="B261" s="4" t="s">
        <v>145</v>
      </c>
      <c r="C261" s="4" t="s">
        <v>146</v>
      </c>
      <c r="D261" s="4" t="s">
        <v>147</v>
      </c>
      <c r="E261" s="60">
        <v>42356</v>
      </c>
      <c r="F261" s="4" t="s">
        <v>277</v>
      </c>
      <c r="G261" s="4" t="s">
        <v>149</v>
      </c>
      <c r="H261" s="4" t="s">
        <v>150</v>
      </c>
    </row>
    <row r="262" spans="1:16" s="4" customFormat="1" x14ac:dyDescent="0.25">
      <c r="A262"/>
      <c r="B262"/>
      <c r="C262"/>
      <c r="D262"/>
      <c r="E262"/>
      <c r="F262"/>
      <c r="G262"/>
      <c r="H262"/>
    </row>
    <row r="263" spans="1:16" s="4" customFormat="1" x14ac:dyDescent="0.25">
      <c r="A263"/>
      <c r="B263"/>
      <c r="C263"/>
      <c r="D263"/>
      <c r="E263"/>
      <c r="F263"/>
      <c r="G263"/>
      <c r="H263"/>
    </row>
    <row r="264" spans="1:16" s="4" customFormat="1" x14ac:dyDescent="0.25">
      <c r="A264"/>
      <c r="B264"/>
      <c r="C264"/>
      <c r="D264"/>
      <c r="E264"/>
      <c r="F264"/>
      <c r="G264"/>
      <c r="H264"/>
    </row>
    <row r="265" spans="1:16" s="4" customFormat="1" x14ac:dyDescent="0.25">
      <c r="A265"/>
      <c r="B265"/>
      <c r="C265"/>
      <c r="D265"/>
      <c r="E265"/>
      <c r="F265"/>
      <c r="G265"/>
      <c r="H265"/>
    </row>
    <row r="266" spans="1:16" s="4" customFormat="1" x14ac:dyDescent="0.25">
      <c r="A266"/>
      <c r="B266"/>
      <c r="C266"/>
      <c r="D266"/>
      <c r="E266"/>
      <c r="F266"/>
      <c r="G266"/>
      <c r="H266"/>
    </row>
    <row r="267" spans="1:16" s="4" customFormat="1" x14ac:dyDescent="0.25">
      <c r="A267"/>
      <c r="B267"/>
      <c r="C267"/>
      <c r="D267"/>
      <c r="E267"/>
      <c r="F267"/>
      <c r="G267"/>
      <c r="H267"/>
    </row>
    <row r="268" spans="1:16" s="4" customFormat="1" x14ac:dyDescent="0.25">
      <c r="A268"/>
      <c r="B268"/>
      <c r="C268"/>
      <c r="D268"/>
      <c r="E268"/>
      <c r="F268"/>
      <c r="G268"/>
      <c r="H268"/>
    </row>
    <row r="269" spans="1:16" s="4" customFormat="1" x14ac:dyDescent="0.25">
      <c r="A269"/>
      <c r="B269"/>
      <c r="C269"/>
      <c r="D269"/>
      <c r="E269"/>
      <c r="F269"/>
      <c r="G269"/>
      <c r="H269"/>
    </row>
    <row r="270" spans="1:16" s="4" customFormat="1" x14ac:dyDescent="0.25">
      <c r="A270"/>
      <c r="B270"/>
      <c r="C270"/>
      <c r="D270"/>
      <c r="E270"/>
      <c r="F270"/>
      <c r="G270"/>
      <c r="H270"/>
    </row>
    <row r="271" spans="1:16" s="4" customFormat="1" x14ac:dyDescent="0.25">
      <c r="A271"/>
      <c r="B271"/>
      <c r="C271"/>
      <c r="D271"/>
      <c r="E271"/>
      <c r="F271"/>
      <c r="G271"/>
      <c r="H271"/>
    </row>
    <row r="272" spans="1:16" s="4" customFormat="1" x14ac:dyDescent="0.25">
      <c r="A272"/>
      <c r="B272"/>
      <c r="C272"/>
      <c r="D272"/>
      <c r="E272" s="2"/>
      <c r="F272"/>
      <c r="G272"/>
      <c r="H272"/>
    </row>
    <row r="273" spans="1:8" s="4" customFormat="1" x14ac:dyDescent="0.25">
      <c r="A273"/>
      <c r="B273"/>
      <c r="C273"/>
      <c r="D273"/>
      <c r="E273" s="2"/>
      <c r="F273"/>
      <c r="G273"/>
      <c r="H273"/>
    </row>
    <row r="274" spans="1:8" s="4" customFormat="1" x14ac:dyDescent="0.25">
      <c r="A274"/>
      <c r="B274"/>
      <c r="C274"/>
      <c r="D274"/>
      <c r="E274" s="2"/>
      <c r="F274"/>
      <c r="G274"/>
      <c r="H274"/>
    </row>
    <row r="275" spans="1:8" s="4" customFormat="1" x14ac:dyDescent="0.25">
      <c r="A275"/>
      <c r="B275"/>
      <c r="C275"/>
      <c r="D275"/>
      <c r="E275" s="2"/>
      <c r="F275"/>
      <c r="G275"/>
      <c r="H275"/>
    </row>
    <row r="276" spans="1:8" s="4" customFormat="1" x14ac:dyDescent="0.25">
      <c r="A276"/>
      <c r="B276"/>
      <c r="C276"/>
      <c r="D276"/>
      <c r="E276" s="2"/>
      <c r="F276"/>
      <c r="G276"/>
      <c r="H276"/>
    </row>
    <row r="277" spans="1:8" s="4" customFormat="1" x14ac:dyDescent="0.25">
      <c r="A277"/>
      <c r="B277"/>
      <c r="C277"/>
      <c r="D277"/>
      <c r="E277" s="2"/>
      <c r="F277"/>
      <c r="G277"/>
      <c r="H277"/>
    </row>
    <row r="278" spans="1:8" s="4" customFormat="1" x14ac:dyDescent="0.25">
      <c r="A278"/>
      <c r="B278"/>
      <c r="C278"/>
      <c r="D278"/>
      <c r="E278" s="2"/>
      <c r="F278"/>
      <c r="G278"/>
      <c r="H278"/>
    </row>
    <row r="279" spans="1:8" s="4" customFormat="1" x14ac:dyDescent="0.25">
      <c r="A279"/>
      <c r="B279"/>
      <c r="C279"/>
      <c r="D279"/>
      <c r="E279" s="2"/>
      <c r="F279"/>
      <c r="G279"/>
      <c r="H279"/>
    </row>
    <row r="280" spans="1:8" s="4" customFormat="1" x14ac:dyDescent="0.25">
      <c r="A280"/>
      <c r="B280"/>
      <c r="C280"/>
      <c r="D280"/>
      <c r="E280" s="2"/>
      <c r="F280"/>
      <c r="G280"/>
      <c r="H280"/>
    </row>
    <row r="281" spans="1:8" s="4" customFormat="1" x14ac:dyDescent="0.25">
      <c r="A281"/>
      <c r="B281"/>
      <c r="C281"/>
      <c r="D281"/>
      <c r="E281" s="2"/>
      <c r="F281"/>
      <c r="G281"/>
      <c r="H281"/>
    </row>
    <row r="282" spans="1:8" s="4" customFormat="1" x14ac:dyDescent="0.25">
      <c r="A282"/>
      <c r="B282"/>
      <c r="C282"/>
      <c r="D282"/>
      <c r="E282" s="2"/>
      <c r="F282"/>
      <c r="G282"/>
      <c r="H282"/>
    </row>
    <row r="283" spans="1:8" s="4" customFormat="1" x14ac:dyDescent="0.25">
      <c r="A283"/>
      <c r="B283"/>
      <c r="C283"/>
      <c r="D283"/>
      <c r="E283" s="2"/>
      <c r="F283"/>
      <c r="G283"/>
      <c r="H283"/>
    </row>
    <row r="284" spans="1:8" s="4" customFormat="1" x14ac:dyDescent="0.25">
      <c r="A284"/>
      <c r="B284"/>
      <c r="C284"/>
      <c r="D284"/>
      <c r="E284" s="2"/>
      <c r="F284"/>
      <c r="G284"/>
      <c r="H284"/>
    </row>
    <row r="285" spans="1:8" s="4" customFormat="1" x14ac:dyDescent="0.25">
      <c r="A285"/>
      <c r="B285"/>
      <c r="C285"/>
      <c r="D285"/>
      <c r="E285" s="2"/>
      <c r="F285"/>
      <c r="G285"/>
      <c r="H285"/>
    </row>
    <row r="286" spans="1:8" s="4" customFormat="1" x14ac:dyDescent="0.25">
      <c r="A286"/>
      <c r="B286"/>
      <c r="C286"/>
      <c r="D286"/>
      <c r="E286" s="2"/>
      <c r="F286"/>
      <c r="G286"/>
      <c r="H286"/>
    </row>
    <row r="287" spans="1:8" s="4" customFormat="1" x14ac:dyDescent="0.25">
      <c r="A287"/>
      <c r="B287"/>
      <c r="C287"/>
      <c r="D287"/>
      <c r="E287" s="2"/>
      <c r="F287"/>
      <c r="G287"/>
      <c r="H287"/>
    </row>
    <row r="288" spans="1:8" s="4" customFormat="1" x14ac:dyDescent="0.25">
      <c r="A288"/>
      <c r="B288"/>
      <c r="C288"/>
      <c r="D288"/>
      <c r="E288" s="2"/>
      <c r="F288"/>
      <c r="G288"/>
      <c r="H288"/>
    </row>
    <row r="289" spans="1:8" s="4" customFormat="1" x14ac:dyDescent="0.25">
      <c r="A289"/>
      <c r="B289"/>
      <c r="C289"/>
      <c r="D289"/>
      <c r="E289" s="2"/>
      <c r="F289"/>
      <c r="G289"/>
      <c r="H289"/>
    </row>
    <row r="290" spans="1:8" s="4" customFormat="1" x14ac:dyDescent="0.25">
      <c r="A290"/>
      <c r="B290"/>
      <c r="C290"/>
      <c r="D290"/>
      <c r="E290" s="2"/>
      <c r="F290"/>
      <c r="G290"/>
      <c r="H290"/>
    </row>
    <row r="291" spans="1:8" s="4" customFormat="1" x14ac:dyDescent="0.25">
      <c r="A291"/>
      <c r="B291"/>
      <c r="C291"/>
      <c r="D291"/>
      <c r="E291" s="2"/>
      <c r="F291"/>
      <c r="G291"/>
      <c r="H291"/>
    </row>
    <row r="292" spans="1:8" s="4" customFormat="1" x14ac:dyDescent="0.25">
      <c r="A292"/>
      <c r="B292"/>
      <c r="C292"/>
      <c r="D292"/>
      <c r="E292" s="2"/>
      <c r="F292"/>
      <c r="G292"/>
      <c r="H292"/>
    </row>
    <row r="293" spans="1:8" s="4" customFormat="1" x14ac:dyDescent="0.25">
      <c r="A293"/>
      <c r="B293"/>
      <c r="C293"/>
      <c r="D293"/>
      <c r="E293" s="2"/>
      <c r="F293"/>
      <c r="G293"/>
      <c r="H293"/>
    </row>
    <row r="294" spans="1:8" s="4" customFormat="1" x14ac:dyDescent="0.25">
      <c r="A294"/>
      <c r="B294"/>
      <c r="C294"/>
      <c r="D294"/>
      <c r="E294" s="2"/>
      <c r="F294"/>
      <c r="G294"/>
      <c r="H294"/>
    </row>
    <row r="295" spans="1:8" s="4" customFormat="1" x14ac:dyDescent="0.25">
      <c r="A295"/>
      <c r="B295"/>
      <c r="C295"/>
      <c r="D295"/>
      <c r="E295" s="2"/>
      <c r="F295"/>
      <c r="G295"/>
      <c r="H295"/>
    </row>
    <row r="296" spans="1:8" s="4" customFormat="1" x14ac:dyDescent="0.25">
      <c r="A296"/>
      <c r="B296"/>
      <c r="C296"/>
      <c r="D296"/>
      <c r="E296" s="2"/>
      <c r="F296"/>
      <c r="G296"/>
      <c r="H296"/>
    </row>
    <row r="297" spans="1:8" s="4" customFormat="1" x14ac:dyDescent="0.25">
      <c r="A297"/>
      <c r="B297"/>
      <c r="C297"/>
      <c r="D297"/>
      <c r="E297" s="2"/>
      <c r="F297"/>
      <c r="G297"/>
      <c r="H297"/>
    </row>
    <row r="298" spans="1:8" s="4" customFormat="1" x14ac:dyDescent="0.25">
      <c r="A298"/>
      <c r="B298"/>
      <c r="C298"/>
      <c r="D298"/>
      <c r="E298" s="2"/>
      <c r="F298"/>
      <c r="G298"/>
      <c r="H298"/>
    </row>
    <row r="299" spans="1:8" s="4" customFormat="1" x14ac:dyDescent="0.25">
      <c r="A299"/>
      <c r="B299"/>
      <c r="C299"/>
      <c r="D299"/>
      <c r="E299" s="2"/>
      <c r="F299"/>
      <c r="G299"/>
      <c r="H299"/>
    </row>
    <row r="300" spans="1:8" s="4" customFormat="1" x14ac:dyDescent="0.25">
      <c r="A300"/>
      <c r="B300"/>
      <c r="C300"/>
      <c r="D300"/>
      <c r="E300" s="2"/>
      <c r="F300"/>
      <c r="G300"/>
      <c r="H300"/>
    </row>
    <row r="301" spans="1:8" s="4" customFormat="1" x14ac:dyDescent="0.25">
      <c r="A301"/>
      <c r="B301"/>
      <c r="C301"/>
      <c r="D301"/>
      <c r="E301" s="2"/>
      <c r="F301"/>
      <c r="G301"/>
      <c r="H301"/>
    </row>
    <row r="302" spans="1:8" s="4" customFormat="1" x14ac:dyDescent="0.25">
      <c r="A302"/>
      <c r="B302"/>
      <c r="C302"/>
      <c r="D302"/>
      <c r="E302" s="2"/>
      <c r="F302"/>
      <c r="G302"/>
      <c r="H302"/>
    </row>
    <row r="303" spans="1:8" s="4" customFormat="1" x14ac:dyDescent="0.25">
      <c r="A303"/>
      <c r="B303"/>
      <c r="C303"/>
      <c r="D303"/>
      <c r="E303" s="2"/>
      <c r="F303"/>
      <c r="G303"/>
      <c r="H303"/>
    </row>
    <row r="304" spans="1:8" s="4" customFormat="1" x14ac:dyDescent="0.25">
      <c r="A304"/>
      <c r="B304"/>
      <c r="C304"/>
      <c r="D304"/>
      <c r="E304" s="2"/>
      <c r="F304"/>
      <c r="G304"/>
      <c r="H304"/>
    </row>
    <row r="305" spans="1:8" s="4" customFormat="1" x14ac:dyDescent="0.25">
      <c r="A305"/>
      <c r="B305"/>
      <c r="C305"/>
      <c r="D305"/>
      <c r="E305" s="2"/>
      <c r="F305"/>
      <c r="G305"/>
      <c r="H305"/>
    </row>
    <row r="306" spans="1:8" s="4" customFormat="1" x14ac:dyDescent="0.25">
      <c r="A306"/>
      <c r="B306"/>
      <c r="C306"/>
      <c r="D306"/>
      <c r="E306" s="2"/>
      <c r="F306"/>
      <c r="G306"/>
      <c r="H306"/>
    </row>
    <row r="307" spans="1:8" s="4" customFormat="1" x14ac:dyDescent="0.25">
      <c r="A307"/>
      <c r="B307"/>
      <c r="C307"/>
      <c r="D307"/>
      <c r="E307" s="2"/>
      <c r="F307"/>
      <c r="G307"/>
      <c r="H307"/>
    </row>
    <row r="308" spans="1:8" s="4" customFormat="1" x14ac:dyDescent="0.25">
      <c r="A308"/>
      <c r="B308"/>
      <c r="C308"/>
      <c r="D308"/>
      <c r="E308" s="2"/>
      <c r="F308"/>
      <c r="G308"/>
      <c r="H308"/>
    </row>
    <row r="309" spans="1:8" s="4" customFormat="1" x14ac:dyDescent="0.25">
      <c r="A309"/>
      <c r="B309"/>
      <c r="C309"/>
      <c r="D309"/>
      <c r="E309" s="2"/>
      <c r="F309"/>
      <c r="G309"/>
      <c r="H309"/>
    </row>
    <row r="310" spans="1:8" s="4" customFormat="1" x14ac:dyDescent="0.25">
      <c r="A310"/>
      <c r="B310"/>
      <c r="C310"/>
      <c r="D310"/>
      <c r="E310" s="2"/>
      <c r="F310"/>
      <c r="G310"/>
      <c r="H310"/>
    </row>
    <row r="311" spans="1:8" s="4" customFormat="1" x14ac:dyDescent="0.25">
      <c r="A311"/>
      <c r="B311"/>
      <c r="C311"/>
      <c r="D311"/>
      <c r="E311" s="2"/>
      <c r="F311"/>
      <c r="G311"/>
      <c r="H311"/>
    </row>
    <row r="312" spans="1:8" s="4" customFormat="1" x14ac:dyDescent="0.25">
      <c r="A312"/>
      <c r="B312"/>
      <c r="C312"/>
      <c r="D312"/>
      <c r="E312" s="2"/>
      <c r="F312"/>
      <c r="G312"/>
      <c r="H312"/>
    </row>
    <row r="313" spans="1:8" s="4" customFormat="1" x14ac:dyDescent="0.25">
      <c r="A313"/>
      <c r="B313"/>
      <c r="C313"/>
      <c r="D313"/>
      <c r="E313" s="2"/>
      <c r="F313"/>
      <c r="G313"/>
      <c r="H313"/>
    </row>
    <row r="314" spans="1:8" s="4" customFormat="1" x14ac:dyDescent="0.25">
      <c r="A314"/>
      <c r="B314"/>
      <c r="C314"/>
      <c r="D314"/>
      <c r="E314" s="2"/>
      <c r="F314"/>
      <c r="G314"/>
      <c r="H314"/>
    </row>
    <row r="315" spans="1:8" s="4" customFormat="1" x14ac:dyDescent="0.25">
      <c r="A315"/>
      <c r="B315"/>
      <c r="C315"/>
      <c r="D315"/>
      <c r="E315" s="2"/>
      <c r="F315"/>
      <c r="G315"/>
      <c r="H315"/>
    </row>
    <row r="316" spans="1:8" s="4" customFormat="1" x14ac:dyDescent="0.25">
      <c r="A316"/>
      <c r="B316"/>
      <c r="C316"/>
      <c r="D316"/>
      <c r="E316" s="2"/>
      <c r="F316"/>
      <c r="G316"/>
      <c r="H316"/>
    </row>
    <row r="317" spans="1:8" s="4" customFormat="1" x14ac:dyDescent="0.25">
      <c r="A317"/>
      <c r="B317"/>
      <c r="C317"/>
      <c r="D317"/>
      <c r="E317" s="2"/>
      <c r="F317"/>
      <c r="G317"/>
      <c r="H317"/>
    </row>
    <row r="318" spans="1:8" s="4" customFormat="1" x14ac:dyDescent="0.25">
      <c r="A318"/>
      <c r="B318"/>
      <c r="C318"/>
      <c r="D318"/>
      <c r="E318" s="2"/>
      <c r="F318"/>
      <c r="G318"/>
      <c r="H318"/>
    </row>
    <row r="319" spans="1:8" s="4" customFormat="1" x14ac:dyDescent="0.25">
      <c r="A319"/>
      <c r="B319"/>
      <c r="C319"/>
      <c r="D319"/>
      <c r="E319" s="2"/>
      <c r="F319"/>
      <c r="G319"/>
      <c r="H319"/>
    </row>
    <row r="320" spans="1:8" s="4" customFormat="1" x14ac:dyDescent="0.25">
      <c r="A320"/>
      <c r="B320"/>
      <c r="C320"/>
      <c r="D320"/>
      <c r="E320" s="2"/>
      <c r="F320"/>
      <c r="G320"/>
      <c r="H320"/>
    </row>
    <row r="321" spans="1:8" s="4" customFormat="1" x14ac:dyDescent="0.25">
      <c r="A321"/>
      <c r="B321"/>
      <c r="C321"/>
      <c r="D321"/>
      <c r="E321" s="2"/>
      <c r="F321"/>
      <c r="G321"/>
      <c r="H321"/>
    </row>
    <row r="322" spans="1:8" s="4" customFormat="1" x14ac:dyDescent="0.25">
      <c r="A322"/>
      <c r="B322"/>
      <c r="C322"/>
      <c r="D322"/>
      <c r="E322" s="2"/>
      <c r="F322"/>
      <c r="G322"/>
      <c r="H322"/>
    </row>
    <row r="323" spans="1:8" s="4" customFormat="1" x14ac:dyDescent="0.25">
      <c r="A323"/>
      <c r="B323"/>
      <c r="C323"/>
      <c r="D323"/>
      <c r="E323" s="2"/>
      <c r="F323"/>
      <c r="G323"/>
      <c r="H323"/>
    </row>
    <row r="324" spans="1:8" s="4" customFormat="1" x14ac:dyDescent="0.25">
      <c r="A324"/>
      <c r="B324"/>
      <c r="C324"/>
      <c r="D324"/>
      <c r="E324" s="2"/>
      <c r="F324"/>
      <c r="G324"/>
      <c r="H324"/>
    </row>
    <row r="325" spans="1:8" s="4" customFormat="1" x14ac:dyDescent="0.25">
      <c r="A325"/>
      <c r="B325"/>
      <c r="C325"/>
      <c r="D325"/>
      <c r="E325" s="2"/>
      <c r="F325"/>
      <c r="G325"/>
      <c r="H325"/>
    </row>
    <row r="326" spans="1:8" s="4" customFormat="1" x14ac:dyDescent="0.25">
      <c r="A326"/>
      <c r="B326"/>
      <c r="C326"/>
      <c r="D326"/>
      <c r="E326" s="2"/>
      <c r="F326"/>
      <c r="G326"/>
      <c r="H326"/>
    </row>
    <row r="327" spans="1:8" s="4" customFormat="1" x14ac:dyDescent="0.25">
      <c r="A327"/>
      <c r="B327"/>
      <c r="C327"/>
      <c r="D327"/>
      <c r="E327" s="2"/>
      <c r="F327"/>
      <c r="G327"/>
      <c r="H327"/>
    </row>
    <row r="328" spans="1:8" s="4" customFormat="1" x14ac:dyDescent="0.25">
      <c r="A328"/>
      <c r="B328"/>
      <c r="C328"/>
      <c r="D328"/>
      <c r="E328" s="2"/>
      <c r="F328"/>
      <c r="G328"/>
      <c r="H328"/>
    </row>
    <row r="329" spans="1:8" s="4" customFormat="1" x14ac:dyDescent="0.25">
      <c r="A329"/>
      <c r="B329"/>
      <c r="C329"/>
      <c r="D329"/>
      <c r="E329" s="2"/>
      <c r="F329"/>
      <c r="G329"/>
      <c r="H329"/>
    </row>
    <row r="330" spans="1:8" s="4" customFormat="1" x14ac:dyDescent="0.25">
      <c r="A330"/>
      <c r="B330"/>
      <c r="C330"/>
      <c r="D330"/>
      <c r="E330" s="2"/>
      <c r="F330"/>
      <c r="G330"/>
      <c r="H330"/>
    </row>
    <row r="331" spans="1:8" s="4" customFormat="1" x14ac:dyDescent="0.25">
      <c r="A331"/>
      <c r="B331"/>
      <c r="C331"/>
      <c r="D331"/>
      <c r="E331" s="2"/>
      <c r="F331"/>
      <c r="G331"/>
      <c r="H331"/>
    </row>
    <row r="332" spans="1:8" s="4" customFormat="1" x14ac:dyDescent="0.25">
      <c r="A332"/>
      <c r="B332"/>
      <c r="C332"/>
      <c r="D332"/>
      <c r="E332" s="2"/>
      <c r="F332"/>
      <c r="G332"/>
      <c r="H332"/>
    </row>
    <row r="333" spans="1:8" s="4" customFormat="1" x14ac:dyDescent="0.25">
      <c r="A333"/>
      <c r="B333"/>
      <c r="C333"/>
      <c r="D333"/>
      <c r="E333" s="2"/>
      <c r="F333"/>
      <c r="G333"/>
      <c r="H333"/>
    </row>
    <row r="334" spans="1:8" s="4" customFormat="1" x14ac:dyDescent="0.25">
      <c r="A334"/>
      <c r="B334"/>
      <c r="C334"/>
      <c r="D334"/>
      <c r="E334" s="2"/>
      <c r="F334"/>
      <c r="G334"/>
      <c r="H334"/>
    </row>
    <row r="335" spans="1:8" s="4" customFormat="1" x14ac:dyDescent="0.25">
      <c r="A335"/>
      <c r="B335"/>
      <c r="C335"/>
      <c r="D335"/>
      <c r="E335" s="2"/>
      <c r="F335"/>
      <c r="G335"/>
      <c r="H335"/>
    </row>
    <row r="336" spans="1:8" s="4" customFormat="1" x14ac:dyDescent="0.25">
      <c r="A336"/>
      <c r="B336"/>
      <c r="C336"/>
      <c r="D336"/>
      <c r="E336" s="2"/>
      <c r="F336"/>
      <c r="G336"/>
      <c r="H336"/>
    </row>
    <row r="337" spans="1:8" s="4" customFormat="1" x14ac:dyDescent="0.25">
      <c r="A337"/>
      <c r="B337"/>
      <c r="C337"/>
      <c r="D337"/>
      <c r="E337" s="2"/>
      <c r="F337"/>
      <c r="G337"/>
      <c r="H337"/>
    </row>
    <row r="338" spans="1:8" s="4" customFormat="1" x14ac:dyDescent="0.25">
      <c r="A338"/>
      <c r="B338"/>
      <c r="C338"/>
      <c r="D338"/>
      <c r="E338" s="2"/>
      <c r="F338"/>
      <c r="G338"/>
      <c r="H338"/>
    </row>
    <row r="339" spans="1:8" s="4" customFormat="1" x14ac:dyDescent="0.25">
      <c r="A339"/>
      <c r="B339"/>
      <c r="C339"/>
      <c r="D339"/>
      <c r="E339" s="2"/>
      <c r="F339"/>
      <c r="G339"/>
      <c r="H339"/>
    </row>
    <row r="340" spans="1:8" s="4" customFormat="1" x14ac:dyDescent="0.25">
      <c r="A340"/>
      <c r="B340"/>
      <c r="C340"/>
      <c r="D340"/>
      <c r="E340" s="2"/>
      <c r="F340"/>
      <c r="G340"/>
      <c r="H340"/>
    </row>
    <row r="341" spans="1:8" s="4" customFormat="1" x14ac:dyDescent="0.25">
      <c r="A341"/>
      <c r="B341"/>
      <c r="C341"/>
      <c r="D341"/>
      <c r="E341" s="2"/>
      <c r="F341"/>
      <c r="G341"/>
      <c r="H341"/>
    </row>
    <row r="342" spans="1:8" s="4" customFormat="1" x14ac:dyDescent="0.25">
      <c r="A342"/>
      <c r="B342"/>
      <c r="C342"/>
      <c r="D342"/>
      <c r="E342" s="2"/>
      <c r="F342"/>
      <c r="G342"/>
      <c r="H342"/>
    </row>
    <row r="343" spans="1:8" s="4" customFormat="1" x14ac:dyDescent="0.25">
      <c r="A343"/>
      <c r="B343"/>
      <c r="C343"/>
      <c r="D343"/>
      <c r="E343" s="2"/>
      <c r="F343"/>
      <c r="G343"/>
      <c r="H343"/>
    </row>
    <row r="344" spans="1:8" s="4" customFormat="1" x14ac:dyDescent="0.25">
      <c r="A344"/>
      <c r="B344"/>
      <c r="C344"/>
      <c r="D344"/>
      <c r="E344" s="2"/>
      <c r="F344"/>
      <c r="G344"/>
      <c r="H344"/>
    </row>
    <row r="345" spans="1:8" s="4" customFormat="1" x14ac:dyDescent="0.25">
      <c r="A345"/>
      <c r="B345"/>
      <c r="C345"/>
      <c r="D345"/>
      <c r="E345" s="2"/>
      <c r="F345"/>
      <c r="G345"/>
      <c r="H345"/>
    </row>
    <row r="346" spans="1:8" s="4" customFormat="1" x14ac:dyDescent="0.25">
      <c r="A346"/>
      <c r="B346"/>
      <c r="C346"/>
      <c r="D346"/>
      <c r="E346" s="2"/>
      <c r="F346"/>
      <c r="G346"/>
      <c r="H346"/>
    </row>
    <row r="347" spans="1:8" s="4" customFormat="1" x14ac:dyDescent="0.25">
      <c r="A347"/>
      <c r="B347"/>
      <c r="C347"/>
      <c r="D347"/>
      <c r="E347" s="2"/>
      <c r="F347"/>
      <c r="G347"/>
      <c r="H347"/>
    </row>
    <row r="348" spans="1:8" s="4" customFormat="1" x14ac:dyDescent="0.25">
      <c r="A348"/>
      <c r="B348"/>
      <c r="C348"/>
      <c r="D348"/>
      <c r="E348" s="2"/>
      <c r="F348"/>
      <c r="G348"/>
      <c r="H348"/>
    </row>
    <row r="349" spans="1:8" s="4" customFormat="1" x14ac:dyDescent="0.25">
      <c r="A349"/>
      <c r="B349"/>
      <c r="C349"/>
      <c r="D349"/>
      <c r="E349" s="2"/>
      <c r="F349"/>
      <c r="G349"/>
      <c r="H349"/>
    </row>
    <row r="350" spans="1:8" s="4" customFormat="1" x14ac:dyDescent="0.25">
      <c r="A350"/>
      <c r="B350"/>
      <c r="C350"/>
      <c r="D350"/>
      <c r="E350" s="2"/>
      <c r="F350"/>
      <c r="G350"/>
      <c r="H350"/>
    </row>
    <row r="351" spans="1:8" s="4" customFormat="1" x14ac:dyDescent="0.25">
      <c r="A351"/>
      <c r="B351"/>
      <c r="C351"/>
      <c r="D351"/>
      <c r="E351" s="2"/>
      <c r="F351"/>
      <c r="G351"/>
      <c r="H351"/>
    </row>
    <row r="352" spans="1:8" s="4" customFormat="1" x14ac:dyDescent="0.25">
      <c r="A352"/>
      <c r="B352"/>
      <c r="C352"/>
      <c r="D352"/>
      <c r="E352" s="2"/>
      <c r="F352"/>
      <c r="G352"/>
      <c r="H352"/>
    </row>
    <row r="353" spans="1:8" s="4" customFormat="1" x14ac:dyDescent="0.25">
      <c r="A353"/>
      <c r="B353"/>
      <c r="C353"/>
      <c r="D353"/>
      <c r="E353" s="2"/>
      <c r="F353"/>
      <c r="G353"/>
      <c r="H353"/>
    </row>
    <row r="354" spans="1:8" s="4" customFormat="1" x14ac:dyDescent="0.25">
      <c r="A354"/>
      <c r="B354"/>
      <c r="C354"/>
      <c r="D354"/>
      <c r="E354" s="2"/>
      <c r="F354"/>
      <c r="G354"/>
      <c r="H354"/>
    </row>
    <row r="355" spans="1:8" s="4" customFormat="1" x14ac:dyDescent="0.25">
      <c r="A355"/>
      <c r="B355"/>
      <c r="C355"/>
      <c r="D355"/>
      <c r="E355" s="2"/>
      <c r="F355"/>
      <c r="G355"/>
      <c r="H355"/>
    </row>
    <row r="356" spans="1:8" s="4" customFormat="1" x14ac:dyDescent="0.25">
      <c r="A356"/>
      <c r="B356"/>
      <c r="C356"/>
      <c r="D356"/>
      <c r="E356" s="2"/>
      <c r="F356"/>
      <c r="G356"/>
      <c r="H356"/>
    </row>
    <row r="357" spans="1:8" s="4" customFormat="1" x14ac:dyDescent="0.25">
      <c r="A357"/>
      <c r="B357"/>
      <c r="C357"/>
      <c r="D357"/>
      <c r="E357" s="2"/>
      <c r="F357"/>
      <c r="G357"/>
      <c r="H357"/>
    </row>
    <row r="358" spans="1:8" s="4" customFormat="1" x14ac:dyDescent="0.25">
      <c r="A358"/>
      <c r="B358"/>
      <c r="C358"/>
      <c r="D358"/>
      <c r="E358" s="2"/>
      <c r="F358"/>
      <c r="G358"/>
      <c r="H358"/>
    </row>
    <row r="359" spans="1:8" s="4" customFormat="1" x14ac:dyDescent="0.25">
      <c r="A359"/>
      <c r="B359"/>
      <c r="C359"/>
      <c r="D359"/>
      <c r="E359" s="2"/>
      <c r="F359"/>
      <c r="G359"/>
      <c r="H359"/>
    </row>
    <row r="360" spans="1:8" s="4" customFormat="1" x14ac:dyDescent="0.25">
      <c r="A360"/>
      <c r="B360"/>
      <c r="C360"/>
      <c r="D360"/>
      <c r="E360" s="2"/>
      <c r="F360"/>
      <c r="G360"/>
      <c r="H360"/>
    </row>
    <row r="361" spans="1:8" s="4" customFormat="1" x14ac:dyDescent="0.25">
      <c r="A361"/>
      <c r="B361"/>
      <c r="C361"/>
      <c r="D361"/>
      <c r="E361" s="2"/>
      <c r="F361"/>
      <c r="G361"/>
      <c r="H361"/>
    </row>
    <row r="362" spans="1:8" s="4" customFormat="1" x14ac:dyDescent="0.25">
      <c r="A362"/>
      <c r="B362"/>
      <c r="C362"/>
      <c r="D362"/>
      <c r="E362" s="2"/>
      <c r="F362"/>
      <c r="G362"/>
      <c r="H362"/>
    </row>
    <row r="363" spans="1:8" s="4" customFormat="1" x14ac:dyDescent="0.25">
      <c r="A363"/>
      <c r="B363"/>
      <c r="C363"/>
      <c r="D363"/>
      <c r="E363" s="2"/>
      <c r="F363"/>
      <c r="G363"/>
      <c r="H363"/>
    </row>
    <row r="364" spans="1:8" s="4" customFormat="1" x14ac:dyDescent="0.25">
      <c r="A364"/>
      <c r="B364"/>
      <c r="C364"/>
      <c r="D364"/>
      <c r="E364" s="2"/>
      <c r="F364"/>
      <c r="G364"/>
      <c r="H364"/>
    </row>
    <row r="365" spans="1:8" s="4" customFormat="1" x14ac:dyDescent="0.25">
      <c r="A365"/>
      <c r="B365"/>
      <c r="C365"/>
      <c r="D365"/>
      <c r="E365" s="2"/>
      <c r="F365"/>
      <c r="G365"/>
      <c r="H365"/>
    </row>
    <row r="366" spans="1:8" s="4" customFormat="1" x14ac:dyDescent="0.25">
      <c r="A366"/>
      <c r="B366"/>
      <c r="C366"/>
      <c r="D366"/>
      <c r="E366" s="2"/>
      <c r="F366"/>
      <c r="G366"/>
      <c r="H366"/>
    </row>
    <row r="367" spans="1:8" s="4" customFormat="1" x14ac:dyDescent="0.25">
      <c r="A367"/>
      <c r="B367"/>
      <c r="C367"/>
      <c r="D367"/>
      <c r="E367" s="2"/>
      <c r="F367"/>
      <c r="G367"/>
      <c r="H367"/>
    </row>
    <row r="368" spans="1:8" s="4" customFormat="1" x14ac:dyDescent="0.25">
      <c r="A368"/>
      <c r="B368"/>
      <c r="C368"/>
      <c r="D368"/>
      <c r="E368" s="2"/>
      <c r="F368"/>
      <c r="G368"/>
      <c r="H368"/>
    </row>
    <row r="369" spans="1:8" s="4" customFormat="1" x14ac:dyDescent="0.25">
      <c r="A369"/>
      <c r="B369"/>
      <c r="C369"/>
      <c r="D369"/>
      <c r="E369" s="2"/>
      <c r="F369"/>
      <c r="G369"/>
      <c r="H369"/>
    </row>
    <row r="370" spans="1:8" s="4" customFormat="1" x14ac:dyDescent="0.25">
      <c r="A370"/>
      <c r="B370"/>
      <c r="C370"/>
      <c r="D370"/>
      <c r="E370" s="2"/>
      <c r="F370"/>
      <c r="G370"/>
      <c r="H370"/>
    </row>
    <row r="371" spans="1:8" s="4" customFormat="1" x14ac:dyDescent="0.25">
      <c r="A371"/>
      <c r="B371"/>
      <c r="C371"/>
      <c r="D371"/>
      <c r="E371" s="2"/>
      <c r="F371"/>
      <c r="G371"/>
      <c r="H371"/>
    </row>
    <row r="372" spans="1:8" s="4" customFormat="1" x14ac:dyDescent="0.25">
      <c r="A372"/>
      <c r="B372"/>
      <c r="C372"/>
      <c r="D372"/>
      <c r="E372" s="2"/>
      <c r="F372"/>
      <c r="G372"/>
      <c r="H372"/>
    </row>
    <row r="373" spans="1:8" s="4" customFormat="1" x14ac:dyDescent="0.25">
      <c r="A373"/>
      <c r="B373"/>
      <c r="C373"/>
      <c r="D373"/>
      <c r="E373" s="2"/>
      <c r="F373"/>
      <c r="G373"/>
      <c r="H373"/>
    </row>
    <row r="374" spans="1:8" s="4" customFormat="1" x14ac:dyDescent="0.25">
      <c r="A374"/>
      <c r="B374"/>
      <c r="C374"/>
      <c r="D374"/>
      <c r="E374" s="2"/>
      <c r="F374"/>
      <c r="G374"/>
      <c r="H374"/>
    </row>
    <row r="375" spans="1:8" s="4" customFormat="1" x14ac:dyDescent="0.25">
      <c r="A375"/>
      <c r="B375"/>
      <c r="C375"/>
      <c r="D375"/>
      <c r="E375" s="2"/>
      <c r="F375"/>
      <c r="G375"/>
      <c r="H375"/>
    </row>
    <row r="376" spans="1:8" s="4" customFormat="1" x14ac:dyDescent="0.25">
      <c r="A376"/>
      <c r="B376"/>
      <c r="C376"/>
      <c r="D376"/>
      <c r="E376" s="2"/>
      <c r="F376"/>
      <c r="G376"/>
      <c r="H376"/>
    </row>
    <row r="377" spans="1:8" s="4" customFormat="1" x14ac:dyDescent="0.25">
      <c r="A377"/>
      <c r="B377"/>
      <c r="C377"/>
      <c r="D377"/>
      <c r="E377" s="2"/>
      <c r="F377"/>
      <c r="G377"/>
      <c r="H377"/>
    </row>
    <row r="378" spans="1:8" s="4" customFormat="1" x14ac:dyDescent="0.25">
      <c r="A378"/>
      <c r="B378"/>
      <c r="C378"/>
      <c r="D378"/>
      <c r="E378" s="2"/>
      <c r="F378"/>
      <c r="G378"/>
      <c r="H378"/>
    </row>
    <row r="379" spans="1:8" s="4" customFormat="1" x14ac:dyDescent="0.25">
      <c r="A379"/>
      <c r="B379"/>
      <c r="C379"/>
      <c r="D379"/>
      <c r="E379" s="2"/>
      <c r="F379"/>
      <c r="G379"/>
      <c r="H379"/>
    </row>
    <row r="380" spans="1:8" s="4" customFormat="1" x14ac:dyDescent="0.25">
      <c r="A380"/>
      <c r="B380"/>
      <c r="C380"/>
      <c r="D380"/>
      <c r="E380" s="2"/>
      <c r="F380"/>
      <c r="G380"/>
      <c r="H380"/>
    </row>
    <row r="381" spans="1:8" s="4" customFormat="1" x14ac:dyDescent="0.25">
      <c r="A381"/>
      <c r="B381"/>
      <c r="C381"/>
      <c r="D381"/>
      <c r="E381" s="2"/>
      <c r="F381"/>
      <c r="G381"/>
      <c r="H381"/>
    </row>
    <row r="382" spans="1:8" s="4" customFormat="1" x14ac:dyDescent="0.25">
      <c r="A382"/>
      <c r="B382"/>
      <c r="C382"/>
      <c r="D382"/>
      <c r="E382" s="2"/>
      <c r="F382"/>
      <c r="G382"/>
      <c r="H382"/>
    </row>
    <row r="383" spans="1:8" s="4" customFormat="1" x14ac:dyDescent="0.25">
      <c r="A383"/>
      <c r="B383"/>
      <c r="C383"/>
      <c r="D383"/>
      <c r="E383" s="2"/>
      <c r="F383"/>
      <c r="G383"/>
      <c r="H383"/>
    </row>
    <row r="384" spans="1:8" s="4" customFormat="1" x14ac:dyDescent="0.25">
      <c r="A384"/>
      <c r="B384"/>
      <c r="C384"/>
      <c r="D384"/>
      <c r="E384" s="2"/>
      <c r="F384"/>
      <c r="G384"/>
      <c r="H384"/>
    </row>
    <row r="385" spans="1:8" s="4" customFormat="1" x14ac:dyDescent="0.25">
      <c r="A385"/>
      <c r="B385"/>
      <c r="C385"/>
      <c r="D385"/>
      <c r="E385" s="2"/>
      <c r="F385"/>
      <c r="G385"/>
      <c r="H385"/>
    </row>
    <row r="386" spans="1:8" s="4" customFormat="1" x14ac:dyDescent="0.25">
      <c r="A386"/>
      <c r="B386"/>
      <c r="C386"/>
      <c r="D386"/>
      <c r="E386" s="2"/>
      <c r="F386"/>
      <c r="G386"/>
      <c r="H386"/>
    </row>
    <row r="387" spans="1:8" s="4" customFormat="1" x14ac:dyDescent="0.25">
      <c r="A387"/>
      <c r="B387"/>
      <c r="C387"/>
      <c r="D387"/>
      <c r="E387" s="2"/>
      <c r="F387"/>
      <c r="G387"/>
      <c r="H387"/>
    </row>
    <row r="388" spans="1:8" s="4" customFormat="1" x14ac:dyDescent="0.25">
      <c r="A388"/>
      <c r="B388"/>
      <c r="C388"/>
      <c r="D388"/>
      <c r="E388" s="2"/>
      <c r="F388"/>
      <c r="G388"/>
      <c r="H388"/>
    </row>
    <row r="389" spans="1:8" s="4" customFormat="1" x14ac:dyDescent="0.25">
      <c r="A389"/>
      <c r="B389"/>
      <c r="C389"/>
      <c r="D389"/>
      <c r="E389" s="2"/>
      <c r="F389"/>
      <c r="G389"/>
      <c r="H389"/>
    </row>
    <row r="390" spans="1:8" s="4" customFormat="1" x14ac:dyDescent="0.25">
      <c r="A390"/>
      <c r="B390"/>
      <c r="C390"/>
      <c r="D390"/>
      <c r="E390" s="2"/>
      <c r="F390"/>
      <c r="G390"/>
      <c r="H390"/>
    </row>
    <row r="391" spans="1:8" s="4" customFormat="1" x14ac:dyDescent="0.25">
      <c r="A391"/>
      <c r="B391"/>
      <c r="C391"/>
      <c r="D391"/>
      <c r="E391" s="2"/>
      <c r="F391"/>
      <c r="G391"/>
      <c r="H391"/>
    </row>
    <row r="392" spans="1:8" s="4" customFormat="1" x14ac:dyDescent="0.25">
      <c r="A392"/>
      <c r="B392"/>
      <c r="C392"/>
      <c r="D392"/>
      <c r="E392" s="2"/>
      <c r="F392"/>
      <c r="G392"/>
      <c r="H392"/>
    </row>
    <row r="393" spans="1:8" s="4" customFormat="1" x14ac:dyDescent="0.25">
      <c r="A393"/>
      <c r="B393"/>
      <c r="C393"/>
      <c r="D393"/>
      <c r="E393" s="2"/>
      <c r="F393"/>
      <c r="G393"/>
      <c r="H393"/>
    </row>
    <row r="394" spans="1:8" s="4" customFormat="1" x14ac:dyDescent="0.25">
      <c r="A394"/>
      <c r="B394"/>
      <c r="C394"/>
      <c r="D394"/>
      <c r="E394" s="2"/>
      <c r="F394"/>
      <c r="G394"/>
      <c r="H394"/>
    </row>
    <row r="395" spans="1:8" s="4" customFormat="1" x14ac:dyDescent="0.25">
      <c r="A395"/>
      <c r="B395"/>
      <c r="C395"/>
      <c r="D395"/>
      <c r="E395" s="2"/>
      <c r="F395"/>
      <c r="G395"/>
      <c r="H395"/>
    </row>
    <row r="396" spans="1:8" s="4" customFormat="1" x14ac:dyDescent="0.25">
      <c r="A396"/>
      <c r="B396"/>
      <c r="C396"/>
      <c r="D396"/>
      <c r="E396" s="2"/>
      <c r="F396"/>
      <c r="G396"/>
      <c r="H396"/>
    </row>
    <row r="397" spans="1:8" s="4" customFormat="1" x14ac:dyDescent="0.25">
      <c r="A397"/>
      <c r="B397"/>
      <c r="C397"/>
      <c r="D397"/>
      <c r="E397" s="2"/>
      <c r="F397"/>
      <c r="G397"/>
      <c r="H397"/>
    </row>
    <row r="398" spans="1:8" s="4" customFormat="1" x14ac:dyDescent="0.25">
      <c r="A398"/>
      <c r="B398"/>
      <c r="C398"/>
      <c r="D398"/>
      <c r="E398" s="2"/>
      <c r="F398"/>
      <c r="G398"/>
      <c r="H398"/>
    </row>
    <row r="399" spans="1:8" s="4" customFormat="1" x14ac:dyDescent="0.25">
      <c r="A399"/>
      <c r="B399"/>
      <c r="C399"/>
      <c r="D399"/>
      <c r="E399" s="2"/>
      <c r="F399"/>
      <c r="G399"/>
      <c r="H399"/>
    </row>
    <row r="400" spans="1:8" s="4" customFormat="1" x14ac:dyDescent="0.25">
      <c r="A400"/>
      <c r="B400"/>
      <c r="C400"/>
      <c r="D400"/>
      <c r="E400" s="2"/>
      <c r="F400"/>
      <c r="G400"/>
      <c r="H400"/>
    </row>
    <row r="401" spans="1:8" s="4" customFormat="1" x14ac:dyDescent="0.25">
      <c r="A401"/>
      <c r="B401"/>
      <c r="C401"/>
      <c r="D401"/>
      <c r="E401" s="2"/>
      <c r="F401"/>
      <c r="G401"/>
      <c r="H401"/>
    </row>
    <row r="402" spans="1:8" s="4" customFormat="1" x14ac:dyDescent="0.25">
      <c r="A402"/>
      <c r="B402"/>
      <c r="C402"/>
      <c r="D402"/>
      <c r="E402" s="2"/>
      <c r="F402"/>
      <c r="G402"/>
      <c r="H402"/>
    </row>
    <row r="403" spans="1:8" s="4" customFormat="1" x14ac:dyDescent="0.25">
      <c r="A403"/>
      <c r="B403"/>
      <c r="C403"/>
      <c r="D403"/>
      <c r="E403" s="2"/>
      <c r="F403"/>
      <c r="G403"/>
      <c r="H403"/>
    </row>
    <row r="404" spans="1:8" s="4" customFormat="1" x14ac:dyDescent="0.25">
      <c r="A404"/>
      <c r="B404"/>
      <c r="C404"/>
      <c r="D404"/>
      <c r="E404" s="2"/>
      <c r="F404"/>
      <c r="G404"/>
      <c r="H404"/>
    </row>
    <row r="405" spans="1:8" s="4" customFormat="1" x14ac:dyDescent="0.25">
      <c r="A405"/>
      <c r="B405"/>
      <c r="C405"/>
      <c r="D405"/>
      <c r="E405" s="2"/>
      <c r="F405"/>
      <c r="G405"/>
      <c r="H405"/>
    </row>
    <row r="406" spans="1:8" s="4" customFormat="1" x14ac:dyDescent="0.25">
      <c r="A406"/>
      <c r="B406"/>
      <c r="C406"/>
      <c r="D406"/>
      <c r="E406" s="2"/>
      <c r="F406"/>
      <c r="G406"/>
      <c r="H406"/>
    </row>
    <row r="407" spans="1:8" s="4" customFormat="1" x14ac:dyDescent="0.25">
      <c r="A407"/>
      <c r="B407"/>
      <c r="C407"/>
      <c r="D407"/>
      <c r="E407" s="2"/>
      <c r="F407"/>
      <c r="G407"/>
      <c r="H407"/>
    </row>
    <row r="408" spans="1:8" s="4" customFormat="1" x14ac:dyDescent="0.25">
      <c r="A408"/>
      <c r="B408"/>
      <c r="C408"/>
      <c r="D408"/>
      <c r="E408" s="2"/>
      <c r="F408"/>
      <c r="G408"/>
      <c r="H408"/>
    </row>
    <row r="409" spans="1:8" s="4" customFormat="1" x14ac:dyDescent="0.25">
      <c r="A409"/>
      <c r="B409"/>
      <c r="C409"/>
      <c r="D409"/>
      <c r="E409" s="2"/>
      <c r="F409"/>
      <c r="G409"/>
      <c r="H409"/>
    </row>
    <row r="410" spans="1:8" s="4" customFormat="1" x14ac:dyDescent="0.25">
      <c r="A410"/>
      <c r="B410"/>
      <c r="C410"/>
      <c r="D410"/>
      <c r="E410" s="2"/>
      <c r="F410"/>
      <c r="G410"/>
      <c r="H410"/>
    </row>
    <row r="411" spans="1:8" s="4" customFormat="1" x14ac:dyDescent="0.25">
      <c r="A411"/>
      <c r="B411"/>
      <c r="C411"/>
      <c r="D411"/>
      <c r="E411" s="2"/>
      <c r="F411"/>
      <c r="G411"/>
      <c r="H411"/>
    </row>
    <row r="412" spans="1:8" s="4" customFormat="1" x14ac:dyDescent="0.25">
      <c r="A412"/>
      <c r="B412"/>
      <c r="C412"/>
      <c r="D412"/>
      <c r="E412" s="2"/>
      <c r="F412"/>
      <c r="G412"/>
      <c r="H412"/>
    </row>
    <row r="413" spans="1:8" s="4" customFormat="1" x14ac:dyDescent="0.25">
      <c r="A413"/>
      <c r="B413"/>
      <c r="C413"/>
      <c r="D413"/>
      <c r="E413" s="2"/>
      <c r="F413"/>
      <c r="G413"/>
      <c r="H413"/>
    </row>
    <row r="414" spans="1:8" s="4" customFormat="1" x14ac:dyDescent="0.25">
      <c r="A414"/>
      <c r="B414"/>
      <c r="C414"/>
      <c r="D414"/>
      <c r="E414" s="2"/>
      <c r="F414"/>
      <c r="G414"/>
      <c r="H414"/>
    </row>
    <row r="415" spans="1:8" s="4" customFormat="1" x14ac:dyDescent="0.25">
      <c r="A415"/>
      <c r="B415"/>
      <c r="C415"/>
      <c r="D415"/>
      <c r="E415" s="2"/>
      <c r="F415"/>
      <c r="G415"/>
      <c r="H415"/>
    </row>
    <row r="416" spans="1:8" s="4" customFormat="1" x14ac:dyDescent="0.25">
      <c r="A416"/>
      <c r="B416"/>
      <c r="C416"/>
      <c r="D416"/>
      <c r="E416" s="2"/>
      <c r="F416"/>
      <c r="G416"/>
      <c r="H416"/>
    </row>
    <row r="417" spans="1:8" s="4" customFormat="1" x14ac:dyDescent="0.25">
      <c r="A417"/>
      <c r="B417"/>
      <c r="C417"/>
      <c r="D417"/>
      <c r="E417" s="2"/>
      <c r="F417"/>
      <c r="G417"/>
      <c r="H417"/>
    </row>
    <row r="418" spans="1:8" s="4" customFormat="1" x14ac:dyDescent="0.25">
      <c r="A418"/>
      <c r="B418"/>
      <c r="C418"/>
      <c r="D418"/>
      <c r="E418" s="2"/>
      <c r="F418"/>
      <c r="G418"/>
      <c r="H418"/>
    </row>
    <row r="419" spans="1:8" s="4" customFormat="1" x14ac:dyDescent="0.25">
      <c r="A419"/>
      <c r="B419"/>
      <c r="C419"/>
      <c r="D419"/>
      <c r="E419" s="2"/>
      <c r="F419"/>
      <c r="G419"/>
      <c r="H419"/>
    </row>
    <row r="420" spans="1:8" s="4" customFormat="1" x14ac:dyDescent="0.25">
      <c r="A420"/>
      <c r="B420"/>
      <c r="C420"/>
      <c r="D420"/>
      <c r="E420" s="2"/>
      <c r="F420"/>
      <c r="G420"/>
      <c r="H420"/>
    </row>
    <row r="421" spans="1:8" s="4" customFormat="1" x14ac:dyDescent="0.25">
      <c r="A421"/>
      <c r="B421"/>
      <c r="C421"/>
      <c r="D421"/>
      <c r="E421" s="2"/>
      <c r="F421"/>
      <c r="G421"/>
      <c r="H421"/>
    </row>
    <row r="422" spans="1:8" s="4" customFormat="1" x14ac:dyDescent="0.25">
      <c r="A422"/>
      <c r="B422"/>
      <c r="C422"/>
      <c r="D422"/>
      <c r="E422" s="2"/>
      <c r="F422"/>
      <c r="G422"/>
      <c r="H422"/>
    </row>
    <row r="423" spans="1:8" s="4" customFormat="1" x14ac:dyDescent="0.25">
      <c r="A423"/>
      <c r="B423"/>
      <c r="C423"/>
      <c r="D423"/>
      <c r="E423" s="2"/>
      <c r="F423"/>
      <c r="G423"/>
      <c r="H423"/>
    </row>
    <row r="424" spans="1:8" s="4" customFormat="1" x14ac:dyDescent="0.25">
      <c r="A424"/>
      <c r="B424"/>
      <c r="C424"/>
      <c r="D424"/>
      <c r="E424" s="2"/>
      <c r="F424"/>
      <c r="G424"/>
      <c r="H424"/>
    </row>
    <row r="425" spans="1:8" s="4" customFormat="1" x14ac:dyDescent="0.25">
      <c r="A425"/>
      <c r="B425"/>
      <c r="C425"/>
      <c r="D425"/>
      <c r="E425" s="2"/>
      <c r="F425"/>
      <c r="G425"/>
      <c r="H425"/>
    </row>
    <row r="426" spans="1:8" s="4" customFormat="1" x14ac:dyDescent="0.25">
      <c r="A426"/>
      <c r="B426"/>
      <c r="C426"/>
      <c r="D426"/>
      <c r="E426" s="2"/>
      <c r="F426"/>
      <c r="G426"/>
      <c r="H426"/>
    </row>
    <row r="427" spans="1:8" s="4" customFormat="1" x14ac:dyDescent="0.25">
      <c r="A427"/>
      <c r="B427"/>
      <c r="C427"/>
      <c r="D427"/>
      <c r="E427" s="2"/>
      <c r="F427"/>
      <c r="G427"/>
      <c r="H427"/>
    </row>
    <row r="428" spans="1:8" s="4" customFormat="1" x14ac:dyDescent="0.25">
      <c r="A428"/>
      <c r="B428"/>
      <c r="C428"/>
      <c r="D428"/>
      <c r="E428" s="2"/>
      <c r="F428"/>
      <c r="G428"/>
      <c r="H428"/>
    </row>
    <row r="429" spans="1:8" s="4" customFormat="1" x14ac:dyDescent="0.25">
      <c r="A429"/>
      <c r="B429"/>
      <c r="C429"/>
      <c r="D429"/>
      <c r="E429" s="2"/>
      <c r="F429"/>
      <c r="G429"/>
      <c r="H429"/>
    </row>
    <row r="430" spans="1:8" s="4" customFormat="1" x14ac:dyDescent="0.25">
      <c r="A430"/>
      <c r="B430"/>
      <c r="C430"/>
      <c r="D430"/>
      <c r="E430" s="2"/>
      <c r="F430"/>
      <c r="G430"/>
      <c r="H430"/>
    </row>
    <row r="431" spans="1:8" s="4" customFormat="1" x14ac:dyDescent="0.25">
      <c r="A431"/>
      <c r="B431"/>
      <c r="C431"/>
      <c r="D431"/>
      <c r="E431" s="2"/>
      <c r="F431"/>
      <c r="G431"/>
      <c r="H431"/>
    </row>
    <row r="432" spans="1:8" s="4" customFormat="1" x14ac:dyDescent="0.25">
      <c r="A432"/>
      <c r="B432"/>
      <c r="C432"/>
      <c r="D432"/>
      <c r="E432" s="2"/>
      <c r="F432"/>
      <c r="G432"/>
      <c r="H432"/>
    </row>
    <row r="433" spans="1:8" s="4" customFormat="1" x14ac:dyDescent="0.25">
      <c r="A433"/>
      <c r="B433"/>
      <c r="C433"/>
      <c r="D433"/>
      <c r="E433" s="2"/>
      <c r="F433"/>
      <c r="G433"/>
      <c r="H433"/>
    </row>
    <row r="434" spans="1:8" s="4" customFormat="1" x14ac:dyDescent="0.25">
      <c r="A434"/>
      <c r="B434"/>
      <c r="C434"/>
      <c r="D434"/>
      <c r="E434" s="2"/>
      <c r="F434"/>
      <c r="G434"/>
      <c r="H434"/>
    </row>
    <row r="435" spans="1:8" s="4" customFormat="1" x14ac:dyDescent="0.25">
      <c r="A435"/>
      <c r="B435"/>
      <c r="C435"/>
      <c r="D435"/>
      <c r="E435" s="2"/>
      <c r="F435"/>
      <c r="G435"/>
      <c r="H435"/>
    </row>
    <row r="436" spans="1:8" s="4" customFormat="1" x14ac:dyDescent="0.25">
      <c r="A436"/>
      <c r="B436"/>
      <c r="C436"/>
      <c r="D436"/>
      <c r="E436" s="2"/>
      <c r="F436"/>
      <c r="G436"/>
      <c r="H436"/>
    </row>
    <row r="437" spans="1:8" s="4" customFormat="1" x14ac:dyDescent="0.25">
      <c r="A437"/>
      <c r="B437"/>
      <c r="C437"/>
      <c r="D437"/>
      <c r="E437" s="2"/>
      <c r="F437"/>
      <c r="G437"/>
      <c r="H437"/>
    </row>
    <row r="438" spans="1:8" s="4" customFormat="1" x14ac:dyDescent="0.25">
      <c r="A438"/>
      <c r="B438"/>
      <c r="C438"/>
      <c r="D438"/>
      <c r="E438" s="2"/>
      <c r="F438"/>
      <c r="G438"/>
      <c r="H438"/>
    </row>
    <row r="439" spans="1:8" s="4" customFormat="1" x14ac:dyDescent="0.25">
      <c r="A439"/>
      <c r="B439"/>
      <c r="C439"/>
      <c r="D439"/>
      <c r="E439" s="2"/>
      <c r="F439"/>
      <c r="G439"/>
      <c r="H439"/>
    </row>
    <row r="440" spans="1:8" s="4" customFormat="1" x14ac:dyDescent="0.25">
      <c r="A440"/>
      <c r="B440"/>
      <c r="C440"/>
      <c r="D440"/>
      <c r="E440" s="2"/>
      <c r="F440"/>
      <c r="G440"/>
      <c r="H440"/>
    </row>
    <row r="441" spans="1:8" s="4" customFormat="1" x14ac:dyDescent="0.25">
      <c r="A441"/>
      <c r="B441"/>
      <c r="C441"/>
      <c r="D441"/>
      <c r="E441" s="2"/>
      <c r="F441"/>
      <c r="G441"/>
      <c r="H441"/>
    </row>
    <row r="442" spans="1:8" s="4" customFormat="1" x14ac:dyDescent="0.25">
      <c r="A442"/>
      <c r="B442"/>
      <c r="C442"/>
      <c r="D442"/>
      <c r="E442" s="2"/>
      <c r="F442"/>
      <c r="G442"/>
      <c r="H442"/>
    </row>
    <row r="443" spans="1:8" s="4" customFormat="1" x14ac:dyDescent="0.25">
      <c r="A443"/>
      <c r="B443"/>
      <c r="C443"/>
      <c r="D443"/>
      <c r="E443" s="2"/>
      <c r="F443"/>
      <c r="G443"/>
      <c r="H443"/>
    </row>
    <row r="444" spans="1:8" s="4" customFormat="1" x14ac:dyDescent="0.25">
      <c r="A444"/>
      <c r="B444"/>
      <c r="C444"/>
      <c r="D444"/>
      <c r="E444" s="2"/>
      <c r="F444"/>
      <c r="G444"/>
      <c r="H444"/>
    </row>
    <row r="445" spans="1:8" s="4" customFormat="1" x14ac:dyDescent="0.25">
      <c r="A445"/>
      <c r="B445"/>
      <c r="C445"/>
      <c r="D445"/>
      <c r="E445" s="2"/>
      <c r="F445"/>
      <c r="G445"/>
      <c r="H445"/>
    </row>
    <row r="446" spans="1:8" s="4" customFormat="1" x14ac:dyDescent="0.25">
      <c r="A446"/>
      <c r="B446"/>
      <c r="C446"/>
      <c r="D446"/>
      <c r="E446" s="2"/>
      <c r="F446"/>
      <c r="G446"/>
      <c r="H446"/>
    </row>
    <row r="447" spans="1:8" s="4" customFormat="1" x14ac:dyDescent="0.25">
      <c r="A447"/>
      <c r="B447"/>
      <c r="C447"/>
      <c r="D447"/>
      <c r="E447" s="2"/>
      <c r="F447"/>
      <c r="G447"/>
      <c r="H447"/>
    </row>
    <row r="448" spans="1:8" s="4" customFormat="1" x14ac:dyDescent="0.25">
      <c r="A448"/>
      <c r="B448"/>
      <c r="C448"/>
      <c r="D448"/>
      <c r="E448" s="2"/>
      <c r="F448"/>
      <c r="G448"/>
      <c r="H448"/>
    </row>
    <row r="449" spans="1:8" s="4" customFormat="1" x14ac:dyDescent="0.25">
      <c r="A449"/>
      <c r="B449"/>
      <c r="C449"/>
      <c r="D449"/>
      <c r="E449" s="2"/>
      <c r="F449"/>
      <c r="G449"/>
      <c r="H449"/>
    </row>
    <row r="450" spans="1:8" s="4" customFormat="1" x14ac:dyDescent="0.25">
      <c r="A450"/>
      <c r="B450"/>
      <c r="C450"/>
      <c r="D450"/>
      <c r="E450" s="2"/>
      <c r="F450"/>
      <c r="G450"/>
      <c r="H450"/>
    </row>
    <row r="451" spans="1:8" s="4" customFormat="1" x14ac:dyDescent="0.25">
      <c r="A451"/>
      <c r="B451"/>
      <c r="C451"/>
      <c r="D451"/>
      <c r="E451" s="2"/>
      <c r="F451"/>
      <c r="G451"/>
      <c r="H451"/>
    </row>
    <row r="452" spans="1:8" s="4" customFormat="1" x14ac:dyDescent="0.25">
      <c r="A452"/>
      <c r="B452"/>
      <c r="C452"/>
      <c r="D452"/>
      <c r="E452" s="2"/>
      <c r="F452"/>
      <c r="G452"/>
      <c r="H452"/>
    </row>
    <row r="453" spans="1:8" s="4" customFormat="1" x14ac:dyDescent="0.25">
      <c r="A453"/>
      <c r="B453"/>
      <c r="C453"/>
      <c r="D453"/>
      <c r="E453" s="2"/>
      <c r="F453"/>
      <c r="G453"/>
      <c r="H453"/>
    </row>
    <row r="454" spans="1:8" s="4" customFormat="1" x14ac:dyDescent="0.25">
      <c r="A454"/>
      <c r="B454"/>
      <c r="C454"/>
      <c r="D454"/>
      <c r="E454" s="2"/>
      <c r="F454"/>
      <c r="G454"/>
      <c r="H454"/>
    </row>
    <row r="455" spans="1:8" s="4" customFormat="1" x14ac:dyDescent="0.25">
      <c r="A455"/>
      <c r="B455"/>
      <c r="C455"/>
      <c r="D455"/>
      <c r="E455" s="2"/>
      <c r="F455"/>
      <c r="G455"/>
      <c r="H455"/>
    </row>
    <row r="456" spans="1:8" s="4" customFormat="1" x14ac:dyDescent="0.25">
      <c r="A456"/>
      <c r="B456"/>
      <c r="C456"/>
      <c r="D456"/>
      <c r="E456" s="2"/>
      <c r="F456"/>
      <c r="G456"/>
      <c r="H456"/>
    </row>
    <row r="457" spans="1:8" s="4" customFormat="1" x14ac:dyDescent="0.25">
      <c r="A457"/>
      <c r="B457"/>
      <c r="C457"/>
      <c r="D457"/>
      <c r="E457" s="2"/>
      <c r="F457"/>
      <c r="G457"/>
      <c r="H457"/>
    </row>
    <row r="458" spans="1:8" s="4" customFormat="1" x14ac:dyDescent="0.25">
      <c r="A458"/>
      <c r="B458"/>
      <c r="C458"/>
      <c r="D458"/>
      <c r="E458" s="2"/>
      <c r="F458"/>
      <c r="G458"/>
      <c r="H458"/>
    </row>
    <row r="459" spans="1:8" s="4" customFormat="1" x14ac:dyDescent="0.25">
      <c r="A459"/>
      <c r="B459"/>
      <c r="C459"/>
      <c r="D459"/>
      <c r="E459" s="2"/>
      <c r="F459"/>
      <c r="G459"/>
      <c r="H459"/>
    </row>
    <row r="460" spans="1:8" s="4" customFormat="1" x14ac:dyDescent="0.25">
      <c r="A460"/>
      <c r="B460"/>
      <c r="C460"/>
      <c r="D460"/>
      <c r="E460" s="2"/>
      <c r="F460"/>
      <c r="G460"/>
      <c r="H460"/>
    </row>
    <row r="461" spans="1:8" s="4" customFormat="1" x14ac:dyDescent="0.25">
      <c r="A461"/>
      <c r="B461"/>
      <c r="C461"/>
      <c r="D461"/>
      <c r="E461" s="2"/>
      <c r="F461"/>
      <c r="G461"/>
      <c r="H461"/>
    </row>
    <row r="462" spans="1:8" s="4" customFormat="1" x14ac:dyDescent="0.25">
      <c r="A462"/>
      <c r="B462"/>
      <c r="C462"/>
      <c r="D462"/>
      <c r="E462" s="2"/>
      <c r="F462"/>
      <c r="G462"/>
      <c r="H462"/>
    </row>
    <row r="463" spans="1:8" s="4" customFormat="1" x14ac:dyDescent="0.25">
      <c r="A463"/>
      <c r="B463"/>
      <c r="C463"/>
      <c r="D463"/>
      <c r="E463" s="2"/>
      <c r="F463"/>
      <c r="G463"/>
      <c r="H463"/>
    </row>
    <row r="464" spans="1:8" s="4" customFormat="1" x14ac:dyDescent="0.25">
      <c r="A464"/>
      <c r="B464"/>
      <c r="C464"/>
      <c r="D464"/>
      <c r="E464" s="2"/>
      <c r="F464"/>
      <c r="G464"/>
      <c r="H464"/>
    </row>
    <row r="465" spans="1:8" s="4" customFormat="1" x14ac:dyDescent="0.25">
      <c r="A465"/>
      <c r="B465"/>
      <c r="C465"/>
      <c r="D465"/>
      <c r="E465" s="2"/>
      <c r="F465"/>
      <c r="G465"/>
      <c r="H465"/>
    </row>
    <row r="466" spans="1:8" s="4" customFormat="1" x14ac:dyDescent="0.25">
      <c r="A466"/>
      <c r="B466"/>
      <c r="C466"/>
      <c r="D466"/>
      <c r="E466" s="2"/>
      <c r="F466"/>
      <c r="G466"/>
      <c r="H466"/>
    </row>
    <row r="467" spans="1:8" s="4" customFormat="1" x14ac:dyDescent="0.25">
      <c r="A467"/>
      <c r="B467"/>
      <c r="C467"/>
      <c r="D467"/>
      <c r="E467" s="2"/>
      <c r="F467"/>
      <c r="G467"/>
      <c r="H467"/>
    </row>
    <row r="468" spans="1:8" s="4" customFormat="1" x14ac:dyDescent="0.25">
      <c r="A468"/>
      <c r="B468"/>
      <c r="C468"/>
      <c r="D468"/>
      <c r="E468" s="2"/>
      <c r="F468"/>
      <c r="G468"/>
      <c r="H468"/>
    </row>
    <row r="469" spans="1:8" s="4" customFormat="1" x14ac:dyDescent="0.25">
      <c r="A469"/>
      <c r="B469"/>
      <c r="C469"/>
      <c r="D469"/>
      <c r="E469" s="2"/>
      <c r="F469"/>
      <c r="G469"/>
      <c r="H469"/>
    </row>
    <row r="470" spans="1:8" s="4" customFormat="1" x14ac:dyDescent="0.25">
      <c r="A470"/>
      <c r="B470"/>
      <c r="C470"/>
      <c r="D470"/>
      <c r="E470" s="2"/>
      <c r="F470"/>
      <c r="G470"/>
      <c r="H470"/>
    </row>
    <row r="471" spans="1:8" s="4" customFormat="1" x14ac:dyDescent="0.25">
      <c r="A471"/>
      <c r="B471"/>
      <c r="C471"/>
      <c r="D471"/>
      <c r="E471" s="2"/>
      <c r="F471"/>
      <c r="G471"/>
      <c r="H471"/>
    </row>
    <row r="472" spans="1:8" s="4" customFormat="1" x14ac:dyDescent="0.25">
      <c r="A472"/>
      <c r="B472"/>
      <c r="C472"/>
      <c r="D472"/>
      <c r="E472" s="2"/>
      <c r="F472"/>
      <c r="G472"/>
      <c r="H472"/>
    </row>
    <row r="473" spans="1:8" s="4" customFormat="1" x14ac:dyDescent="0.25">
      <c r="A473"/>
      <c r="B473"/>
      <c r="C473"/>
      <c r="D473"/>
      <c r="E473" s="2"/>
      <c r="F473"/>
      <c r="G473"/>
      <c r="H473"/>
    </row>
    <row r="474" spans="1:8" s="4" customFormat="1" x14ac:dyDescent="0.25">
      <c r="A474"/>
      <c r="B474"/>
      <c r="C474"/>
      <c r="D474"/>
      <c r="E474" s="2"/>
      <c r="F474"/>
      <c r="G474"/>
      <c r="H474"/>
    </row>
    <row r="475" spans="1:8" s="4" customFormat="1" x14ac:dyDescent="0.25">
      <c r="A475"/>
      <c r="B475"/>
      <c r="C475"/>
      <c r="D475"/>
      <c r="E475" s="2"/>
      <c r="F475"/>
      <c r="G475"/>
      <c r="H475"/>
    </row>
    <row r="476" spans="1:8" s="4" customFormat="1" x14ac:dyDescent="0.25">
      <c r="A476"/>
      <c r="B476"/>
      <c r="C476"/>
      <c r="D476"/>
      <c r="E476" s="2"/>
      <c r="F476"/>
      <c r="G476"/>
      <c r="H476"/>
    </row>
    <row r="477" spans="1:8" s="4" customFormat="1" x14ac:dyDescent="0.25">
      <c r="A477"/>
      <c r="B477"/>
      <c r="C477"/>
      <c r="D477"/>
      <c r="E477" s="2"/>
      <c r="F477"/>
      <c r="G477"/>
      <c r="H477"/>
    </row>
    <row r="478" spans="1:8" s="4" customFormat="1" x14ac:dyDescent="0.25">
      <c r="A478"/>
      <c r="B478"/>
      <c r="C478"/>
      <c r="D478"/>
      <c r="E478" s="2"/>
      <c r="F478"/>
      <c r="G478"/>
      <c r="H478"/>
    </row>
    <row r="479" spans="1:8" s="4" customFormat="1" x14ac:dyDescent="0.25">
      <c r="A479"/>
      <c r="B479"/>
      <c r="C479"/>
      <c r="D479"/>
      <c r="E479" s="2"/>
      <c r="F479"/>
      <c r="G479"/>
      <c r="H479"/>
    </row>
    <row r="480" spans="1:8" s="4" customFormat="1" x14ac:dyDescent="0.25">
      <c r="A480"/>
      <c r="B480"/>
      <c r="C480"/>
      <c r="D480"/>
      <c r="E480" s="2"/>
      <c r="F480"/>
      <c r="G480"/>
      <c r="H480"/>
    </row>
    <row r="481" spans="1:8" s="4" customFormat="1" x14ac:dyDescent="0.25">
      <c r="A481"/>
      <c r="B481"/>
      <c r="C481"/>
      <c r="D481"/>
      <c r="E481" s="2"/>
      <c r="F481"/>
      <c r="G481"/>
      <c r="H481"/>
    </row>
    <row r="482" spans="1:8" s="4" customFormat="1" x14ac:dyDescent="0.25">
      <c r="A482"/>
      <c r="B482"/>
      <c r="C482"/>
      <c r="D482"/>
      <c r="E482" s="2"/>
      <c r="F482"/>
      <c r="G482"/>
      <c r="H482"/>
    </row>
    <row r="483" spans="1:8" s="4" customFormat="1" x14ac:dyDescent="0.25">
      <c r="A483"/>
      <c r="B483"/>
      <c r="C483"/>
      <c r="D483"/>
      <c r="E483" s="2"/>
      <c r="F483"/>
      <c r="G483"/>
      <c r="H483"/>
    </row>
    <row r="484" spans="1:8" s="4" customFormat="1" x14ac:dyDescent="0.25">
      <c r="A484"/>
      <c r="B484"/>
      <c r="C484"/>
      <c r="D484"/>
      <c r="E484" s="2"/>
      <c r="F484"/>
      <c r="G484"/>
      <c r="H484"/>
    </row>
    <row r="485" spans="1:8" s="4" customFormat="1" x14ac:dyDescent="0.25">
      <c r="A485"/>
      <c r="B485"/>
      <c r="C485"/>
      <c r="D485"/>
      <c r="E485" s="2"/>
      <c r="F485"/>
      <c r="G485"/>
      <c r="H485"/>
    </row>
    <row r="486" spans="1:8" s="4" customFormat="1" x14ac:dyDescent="0.25">
      <c r="A486"/>
      <c r="B486"/>
      <c r="C486"/>
      <c r="D486"/>
      <c r="E486" s="2"/>
      <c r="F486"/>
      <c r="G486"/>
      <c r="H486"/>
    </row>
    <row r="487" spans="1:8" s="4" customFormat="1" x14ac:dyDescent="0.25">
      <c r="A487"/>
      <c r="B487"/>
      <c r="C487"/>
      <c r="D487"/>
      <c r="E487" s="2"/>
      <c r="F487"/>
      <c r="G487"/>
      <c r="H487"/>
    </row>
    <row r="488" spans="1:8" s="4" customFormat="1" x14ac:dyDescent="0.25">
      <c r="A488"/>
      <c r="B488"/>
      <c r="C488"/>
      <c r="D488"/>
      <c r="E488" s="2"/>
      <c r="F488"/>
      <c r="G488"/>
      <c r="H488"/>
    </row>
    <row r="489" spans="1:8" s="4" customFormat="1" x14ac:dyDescent="0.25">
      <c r="A489"/>
      <c r="B489"/>
      <c r="C489"/>
      <c r="D489"/>
      <c r="E489" s="2"/>
      <c r="F489"/>
      <c r="G489"/>
      <c r="H489"/>
    </row>
    <row r="490" spans="1:8" s="4" customFormat="1" x14ac:dyDescent="0.25">
      <c r="A490"/>
      <c r="B490"/>
      <c r="C490"/>
      <c r="D490"/>
      <c r="E490" s="2"/>
      <c r="F490"/>
      <c r="G490"/>
      <c r="H490"/>
    </row>
    <row r="491" spans="1:8" s="4" customFormat="1" x14ac:dyDescent="0.25">
      <c r="A491"/>
      <c r="B491"/>
      <c r="C491"/>
      <c r="D491"/>
      <c r="E491" s="2"/>
      <c r="F491"/>
      <c r="G491"/>
      <c r="H491"/>
    </row>
    <row r="492" spans="1:8" s="4" customFormat="1" x14ac:dyDescent="0.25">
      <c r="A492"/>
      <c r="B492"/>
      <c r="C492"/>
      <c r="D492"/>
      <c r="E492" s="2"/>
      <c r="F492"/>
      <c r="G492"/>
      <c r="H492"/>
    </row>
    <row r="493" spans="1:8" s="4" customFormat="1" x14ac:dyDescent="0.25">
      <c r="A493"/>
      <c r="B493"/>
      <c r="C493"/>
      <c r="D493"/>
      <c r="E493" s="2"/>
      <c r="F493"/>
      <c r="G493"/>
      <c r="H493"/>
    </row>
    <row r="494" spans="1:8" s="4" customFormat="1" x14ac:dyDescent="0.25">
      <c r="A494"/>
      <c r="B494"/>
      <c r="C494"/>
      <c r="D494"/>
      <c r="E494" s="2"/>
      <c r="F494"/>
      <c r="G494"/>
      <c r="H494"/>
    </row>
    <row r="495" spans="1:8" s="4" customFormat="1" x14ac:dyDescent="0.25">
      <c r="A495"/>
      <c r="B495"/>
      <c r="C495"/>
      <c r="D495"/>
      <c r="E495" s="2"/>
      <c r="F495"/>
      <c r="G495"/>
      <c r="H495"/>
    </row>
    <row r="496" spans="1:8" s="4" customFormat="1" x14ac:dyDescent="0.25">
      <c r="A496"/>
      <c r="B496"/>
      <c r="C496"/>
      <c r="D496"/>
      <c r="E496" s="2"/>
      <c r="F496"/>
      <c r="G496"/>
      <c r="H496"/>
    </row>
    <row r="497" spans="1:8" s="4" customFormat="1" x14ac:dyDescent="0.25">
      <c r="A497"/>
      <c r="B497"/>
      <c r="C497"/>
      <c r="D497"/>
      <c r="E497" s="2"/>
      <c r="F497"/>
      <c r="G497"/>
      <c r="H497"/>
    </row>
    <row r="498" spans="1:8" s="4" customFormat="1" x14ac:dyDescent="0.25">
      <c r="A498"/>
      <c r="B498"/>
      <c r="C498"/>
      <c r="D498"/>
      <c r="E498" s="2"/>
      <c r="F498"/>
      <c r="G498"/>
      <c r="H498"/>
    </row>
    <row r="499" spans="1:8" s="4" customFormat="1" x14ac:dyDescent="0.25">
      <c r="A499"/>
      <c r="B499"/>
      <c r="C499"/>
      <c r="D499"/>
      <c r="E499" s="2"/>
      <c r="F499"/>
      <c r="G499"/>
      <c r="H499"/>
    </row>
    <row r="500" spans="1:8" s="4" customFormat="1" x14ac:dyDescent="0.25">
      <c r="A500"/>
      <c r="B500"/>
      <c r="C500"/>
      <c r="D500"/>
      <c r="E500" s="2"/>
      <c r="F500"/>
      <c r="G500"/>
      <c r="H500"/>
    </row>
    <row r="501" spans="1:8" s="4" customFormat="1" x14ac:dyDescent="0.25">
      <c r="A501"/>
      <c r="B501"/>
      <c r="C501"/>
      <c r="D501"/>
      <c r="E501" s="2"/>
      <c r="F501"/>
      <c r="G501"/>
      <c r="H501"/>
    </row>
    <row r="502" spans="1:8" s="4" customFormat="1" x14ac:dyDescent="0.25">
      <c r="A502"/>
      <c r="B502"/>
      <c r="C502"/>
      <c r="D502"/>
      <c r="E502" s="2"/>
      <c r="F502"/>
      <c r="G502"/>
      <c r="H502"/>
    </row>
    <row r="503" spans="1:8" s="4" customFormat="1" x14ac:dyDescent="0.25">
      <c r="A503"/>
      <c r="B503"/>
      <c r="C503"/>
      <c r="D503"/>
      <c r="E503" s="2"/>
      <c r="F503"/>
      <c r="G503"/>
      <c r="H503"/>
    </row>
    <row r="504" spans="1:8" s="4" customFormat="1" x14ac:dyDescent="0.25">
      <c r="A504"/>
      <c r="B504"/>
      <c r="C504"/>
      <c r="D504"/>
      <c r="E504" s="2"/>
      <c r="F504"/>
      <c r="G504"/>
      <c r="H504"/>
    </row>
    <row r="505" spans="1:8" s="4" customFormat="1" x14ac:dyDescent="0.25">
      <c r="A505"/>
      <c r="B505"/>
      <c r="C505"/>
      <c r="D505"/>
      <c r="E505" s="2"/>
      <c r="F505"/>
      <c r="G505"/>
      <c r="H505"/>
    </row>
    <row r="506" spans="1:8" s="4" customFormat="1" x14ac:dyDescent="0.25">
      <c r="A506"/>
      <c r="B506"/>
      <c r="C506"/>
      <c r="D506"/>
      <c r="E506" s="2"/>
      <c r="F506"/>
      <c r="G506"/>
      <c r="H506"/>
    </row>
    <row r="507" spans="1:8" s="4" customFormat="1" x14ac:dyDescent="0.25">
      <c r="A507"/>
      <c r="B507"/>
      <c r="C507"/>
      <c r="D507"/>
      <c r="E507" s="2"/>
      <c r="F507"/>
      <c r="G507"/>
      <c r="H507"/>
    </row>
    <row r="508" spans="1:8" s="4" customFormat="1" x14ac:dyDescent="0.25">
      <c r="A508"/>
      <c r="B508"/>
      <c r="C508"/>
      <c r="D508"/>
      <c r="E508" s="2"/>
      <c r="F508"/>
      <c r="G508"/>
      <c r="H508"/>
    </row>
    <row r="509" spans="1:8" s="4" customFormat="1" x14ac:dyDescent="0.25">
      <c r="A509"/>
      <c r="B509"/>
      <c r="C509"/>
      <c r="D509"/>
      <c r="E509" s="2"/>
      <c r="F509"/>
      <c r="G509"/>
      <c r="H509"/>
    </row>
    <row r="510" spans="1:8" s="4" customFormat="1" x14ac:dyDescent="0.25">
      <c r="A510"/>
      <c r="B510"/>
      <c r="C510"/>
      <c r="D510"/>
      <c r="E510" s="2"/>
      <c r="F510"/>
      <c r="G510"/>
      <c r="H510"/>
    </row>
    <row r="511" spans="1:8" s="4" customFormat="1" x14ac:dyDescent="0.25">
      <c r="A511"/>
      <c r="B511"/>
      <c r="C511"/>
      <c r="D511"/>
      <c r="E511" s="2"/>
      <c r="F511"/>
      <c r="G511"/>
      <c r="H511"/>
    </row>
    <row r="512" spans="1:8" s="4" customFormat="1" x14ac:dyDescent="0.25">
      <c r="A512"/>
      <c r="B512"/>
      <c r="C512"/>
      <c r="D512"/>
      <c r="E512" s="2"/>
      <c r="F512"/>
      <c r="G512"/>
      <c r="H512"/>
    </row>
    <row r="513" spans="1:8" s="4" customFormat="1" x14ac:dyDescent="0.25">
      <c r="A513"/>
      <c r="B513"/>
      <c r="C513"/>
      <c r="D513"/>
      <c r="E513" s="2"/>
      <c r="F513"/>
      <c r="G513"/>
      <c r="H513"/>
    </row>
    <row r="514" spans="1:8" s="4" customFormat="1" x14ac:dyDescent="0.25">
      <c r="A514"/>
      <c r="B514"/>
      <c r="C514"/>
      <c r="D514"/>
      <c r="E514" s="2"/>
      <c r="F514"/>
      <c r="G514"/>
      <c r="H514"/>
    </row>
    <row r="515" spans="1:8" s="4" customFormat="1" x14ac:dyDescent="0.25">
      <c r="A515"/>
      <c r="B515"/>
      <c r="C515"/>
      <c r="D515"/>
      <c r="E515" s="2"/>
      <c r="F515"/>
      <c r="G515"/>
      <c r="H515"/>
    </row>
    <row r="516" spans="1:8" s="4" customFormat="1" x14ac:dyDescent="0.25">
      <c r="A516"/>
      <c r="B516"/>
      <c r="C516"/>
      <c r="D516"/>
      <c r="E516" s="2"/>
      <c r="F516"/>
      <c r="G516"/>
      <c r="H516"/>
    </row>
    <row r="517" spans="1:8" s="4" customFormat="1" x14ac:dyDescent="0.25">
      <c r="A517"/>
      <c r="B517"/>
      <c r="C517"/>
      <c r="D517"/>
      <c r="E517" s="2"/>
      <c r="F517"/>
      <c r="G517"/>
      <c r="H517"/>
    </row>
    <row r="518" spans="1:8" s="4" customFormat="1" x14ac:dyDescent="0.25">
      <c r="A518"/>
      <c r="B518"/>
      <c r="C518"/>
      <c r="D518"/>
      <c r="E518" s="2"/>
      <c r="F518"/>
      <c r="G518"/>
      <c r="H518"/>
    </row>
    <row r="519" spans="1:8" s="4" customFormat="1" x14ac:dyDescent="0.25">
      <c r="A519"/>
      <c r="B519"/>
      <c r="C519"/>
      <c r="D519"/>
      <c r="E519" s="2"/>
      <c r="F519"/>
      <c r="G519"/>
      <c r="H519"/>
    </row>
    <row r="520" spans="1:8" s="4" customFormat="1" x14ac:dyDescent="0.25">
      <c r="A520"/>
      <c r="B520"/>
      <c r="C520"/>
      <c r="D520"/>
      <c r="E520" s="2"/>
      <c r="F520"/>
      <c r="G520"/>
      <c r="H520"/>
    </row>
    <row r="521" spans="1:8" s="4" customFormat="1" x14ac:dyDescent="0.25">
      <c r="A521"/>
      <c r="B521"/>
      <c r="C521"/>
      <c r="D521"/>
      <c r="E521" s="2"/>
      <c r="F521"/>
      <c r="G521"/>
      <c r="H521"/>
    </row>
    <row r="522" spans="1:8" s="4" customFormat="1" x14ac:dyDescent="0.25">
      <c r="A522"/>
      <c r="B522"/>
      <c r="C522"/>
      <c r="D522"/>
      <c r="E522" s="2"/>
      <c r="F522"/>
      <c r="G522"/>
      <c r="H522"/>
    </row>
    <row r="523" spans="1:8" s="4" customFormat="1" x14ac:dyDescent="0.25">
      <c r="A523"/>
      <c r="B523"/>
      <c r="C523"/>
      <c r="D523"/>
      <c r="E523" s="2"/>
      <c r="F523"/>
      <c r="G523"/>
      <c r="H523"/>
    </row>
    <row r="524" spans="1:8" s="4" customFormat="1" x14ac:dyDescent="0.25">
      <c r="A524"/>
      <c r="B524"/>
      <c r="C524"/>
      <c r="D524"/>
      <c r="E524" s="2"/>
      <c r="F524"/>
      <c r="G524"/>
      <c r="H524"/>
    </row>
    <row r="525" spans="1:8" s="4" customFormat="1" x14ac:dyDescent="0.25">
      <c r="A525"/>
      <c r="B525"/>
      <c r="C525"/>
      <c r="D525"/>
      <c r="E525" s="2"/>
      <c r="F525"/>
      <c r="G525"/>
      <c r="H525"/>
    </row>
    <row r="526" spans="1:8" s="4" customFormat="1" x14ac:dyDescent="0.25">
      <c r="A526"/>
      <c r="B526"/>
      <c r="C526"/>
      <c r="D526"/>
      <c r="E526" s="2"/>
      <c r="F526"/>
      <c r="G526"/>
      <c r="H526"/>
    </row>
    <row r="527" spans="1:8" s="4" customFormat="1" x14ac:dyDescent="0.25">
      <c r="A527"/>
      <c r="B527"/>
      <c r="C527"/>
      <c r="D527"/>
      <c r="E527" s="2"/>
      <c r="F527"/>
      <c r="G527"/>
      <c r="H527"/>
    </row>
    <row r="528" spans="1:8" s="4" customFormat="1" x14ac:dyDescent="0.25">
      <c r="A528"/>
      <c r="B528"/>
      <c r="C528"/>
      <c r="D528"/>
      <c r="E528" s="2"/>
      <c r="F528"/>
      <c r="G528"/>
      <c r="H528"/>
    </row>
    <row r="529" spans="1:8" s="4" customFormat="1" x14ac:dyDescent="0.25">
      <c r="A529"/>
      <c r="B529"/>
      <c r="C529"/>
      <c r="D529"/>
      <c r="E529" s="2"/>
      <c r="F529"/>
      <c r="G529"/>
      <c r="H529"/>
    </row>
    <row r="530" spans="1:8" s="4" customFormat="1" x14ac:dyDescent="0.25">
      <c r="A530"/>
      <c r="B530"/>
      <c r="C530"/>
      <c r="D530"/>
      <c r="E530" s="2"/>
      <c r="F530"/>
      <c r="G530"/>
      <c r="H530"/>
    </row>
    <row r="531" spans="1:8" s="4" customFormat="1" x14ac:dyDescent="0.25">
      <c r="A531"/>
      <c r="B531"/>
      <c r="C531"/>
      <c r="D531"/>
      <c r="E531" s="2"/>
      <c r="F531"/>
      <c r="G531"/>
      <c r="H531"/>
    </row>
    <row r="532" spans="1:8" s="4" customFormat="1" x14ac:dyDescent="0.25">
      <c r="A532"/>
      <c r="B532"/>
      <c r="C532"/>
      <c r="D532"/>
      <c r="E532" s="2"/>
      <c r="F532"/>
      <c r="G532"/>
      <c r="H532"/>
    </row>
    <row r="533" spans="1:8" s="4" customFormat="1" x14ac:dyDescent="0.25">
      <c r="A533"/>
      <c r="B533"/>
      <c r="C533"/>
      <c r="D533"/>
      <c r="E533" s="2"/>
      <c r="F533"/>
      <c r="G533"/>
      <c r="H533"/>
    </row>
    <row r="534" spans="1:8" s="4" customFormat="1" x14ac:dyDescent="0.25">
      <c r="A534"/>
      <c r="B534"/>
      <c r="C534"/>
      <c r="D534"/>
      <c r="E534" s="2"/>
      <c r="F534"/>
      <c r="G534"/>
      <c r="H534"/>
    </row>
    <row r="535" spans="1:8" s="4" customFormat="1" x14ac:dyDescent="0.25">
      <c r="A535"/>
      <c r="B535"/>
      <c r="C535"/>
      <c r="D535"/>
      <c r="E535" s="2"/>
      <c r="F535"/>
      <c r="G535"/>
      <c r="H535"/>
    </row>
    <row r="536" spans="1:8" s="4" customFormat="1" x14ac:dyDescent="0.25">
      <c r="A536"/>
      <c r="B536"/>
      <c r="C536"/>
      <c r="D536"/>
      <c r="E536" s="2"/>
      <c r="F536"/>
      <c r="G536"/>
      <c r="H536"/>
    </row>
    <row r="537" spans="1:8" s="4" customFormat="1" x14ac:dyDescent="0.25">
      <c r="A537"/>
      <c r="B537"/>
      <c r="C537"/>
      <c r="D537"/>
      <c r="E537" s="2"/>
      <c r="F537"/>
      <c r="G537"/>
      <c r="H537"/>
    </row>
    <row r="538" spans="1:8" s="4" customFormat="1" x14ac:dyDescent="0.25">
      <c r="A538"/>
      <c r="B538"/>
      <c r="C538"/>
      <c r="D538"/>
      <c r="E538" s="2"/>
      <c r="F538"/>
      <c r="G538"/>
      <c r="H538"/>
    </row>
    <row r="539" spans="1:8" s="4" customFormat="1" x14ac:dyDescent="0.25">
      <c r="A539"/>
      <c r="B539"/>
      <c r="C539"/>
      <c r="D539"/>
      <c r="E539" s="2"/>
      <c r="F539"/>
      <c r="G539"/>
      <c r="H539"/>
    </row>
    <row r="540" spans="1:8" s="4" customFormat="1" x14ac:dyDescent="0.25">
      <c r="A540"/>
      <c r="B540"/>
      <c r="C540"/>
      <c r="D540"/>
      <c r="E540" s="2"/>
      <c r="F540"/>
      <c r="G540"/>
      <c r="H540"/>
    </row>
    <row r="541" spans="1:8" s="4" customFormat="1" x14ac:dyDescent="0.25">
      <c r="A541"/>
      <c r="B541"/>
      <c r="C541"/>
      <c r="D541"/>
      <c r="E541" s="2"/>
      <c r="F541"/>
      <c r="G541"/>
      <c r="H541"/>
    </row>
    <row r="542" spans="1:8" s="4" customFormat="1" x14ac:dyDescent="0.25">
      <c r="A542"/>
      <c r="B542"/>
      <c r="C542"/>
      <c r="D542"/>
      <c r="E542" s="2"/>
      <c r="F542"/>
      <c r="G542"/>
      <c r="H542"/>
    </row>
    <row r="543" spans="1:8" s="4" customFormat="1" x14ac:dyDescent="0.25">
      <c r="A543"/>
      <c r="B543"/>
      <c r="C543"/>
      <c r="D543"/>
      <c r="E543" s="2"/>
      <c r="F543"/>
      <c r="G543"/>
      <c r="H543"/>
    </row>
    <row r="544" spans="1:8" s="4" customFormat="1" x14ac:dyDescent="0.25">
      <c r="A544"/>
      <c r="B544"/>
      <c r="C544"/>
      <c r="D544"/>
      <c r="E544" s="2"/>
      <c r="F544"/>
      <c r="G544"/>
      <c r="H544"/>
    </row>
    <row r="545" spans="1:8" s="4" customFormat="1" x14ac:dyDescent="0.25">
      <c r="A545"/>
      <c r="B545"/>
      <c r="C545"/>
      <c r="D545"/>
      <c r="E545" s="2"/>
      <c r="F545"/>
      <c r="G545"/>
      <c r="H545"/>
    </row>
    <row r="546" spans="1:8" s="4" customFormat="1" x14ac:dyDescent="0.25">
      <c r="A546"/>
      <c r="B546"/>
      <c r="C546"/>
      <c r="D546"/>
      <c r="E546" s="2"/>
      <c r="F546"/>
      <c r="G546"/>
      <c r="H546"/>
    </row>
    <row r="547" spans="1:8" s="4" customFormat="1" x14ac:dyDescent="0.25">
      <c r="A547"/>
      <c r="B547"/>
      <c r="C547"/>
      <c r="D547"/>
      <c r="E547" s="2"/>
      <c r="F547"/>
      <c r="G547"/>
      <c r="H547"/>
    </row>
    <row r="548" spans="1:8" s="4" customFormat="1" x14ac:dyDescent="0.25">
      <c r="A548"/>
      <c r="B548"/>
      <c r="C548"/>
      <c r="D548"/>
      <c r="E548" s="2"/>
      <c r="F548"/>
      <c r="G548"/>
      <c r="H548"/>
    </row>
    <row r="549" spans="1:8" s="4" customFormat="1" x14ac:dyDescent="0.25">
      <c r="A549"/>
      <c r="B549"/>
      <c r="C549"/>
      <c r="D549"/>
      <c r="E549" s="2"/>
      <c r="F549"/>
      <c r="G549"/>
      <c r="H549"/>
    </row>
    <row r="550" spans="1:8" s="4" customFormat="1" x14ac:dyDescent="0.25">
      <c r="A550"/>
      <c r="B550"/>
      <c r="C550"/>
      <c r="D550"/>
      <c r="E550" s="2"/>
      <c r="F550"/>
      <c r="G550"/>
      <c r="H550"/>
    </row>
    <row r="551" spans="1:8" s="4" customFormat="1" x14ac:dyDescent="0.25">
      <c r="A551"/>
      <c r="B551"/>
      <c r="C551"/>
      <c r="D551"/>
      <c r="E551" s="2"/>
      <c r="F551"/>
      <c r="G551"/>
      <c r="H551"/>
    </row>
    <row r="552" spans="1:8" s="4" customFormat="1" x14ac:dyDescent="0.25">
      <c r="A552"/>
      <c r="B552"/>
      <c r="C552"/>
      <c r="D552"/>
      <c r="E552" s="2"/>
      <c r="F552"/>
      <c r="G552"/>
      <c r="H552"/>
    </row>
    <row r="553" spans="1:8" s="4" customFormat="1" x14ac:dyDescent="0.25">
      <c r="A553"/>
      <c r="B553"/>
      <c r="C553"/>
      <c r="D553"/>
      <c r="E553" s="2"/>
      <c r="F553"/>
      <c r="G553"/>
      <c r="H553"/>
    </row>
    <row r="554" spans="1:8" s="4" customFormat="1" x14ac:dyDescent="0.25">
      <c r="A554"/>
      <c r="B554"/>
      <c r="C554"/>
      <c r="D554"/>
      <c r="E554" s="2"/>
      <c r="F554"/>
      <c r="G554"/>
      <c r="H554"/>
    </row>
    <row r="555" spans="1:8" s="4" customFormat="1" x14ac:dyDescent="0.25">
      <c r="A555"/>
      <c r="B555"/>
      <c r="C555"/>
      <c r="D555"/>
      <c r="E555" s="2"/>
      <c r="F555"/>
      <c r="G555"/>
      <c r="H555"/>
    </row>
    <row r="556" spans="1:8" s="4" customFormat="1" x14ac:dyDescent="0.25">
      <c r="A556"/>
      <c r="B556"/>
      <c r="C556"/>
      <c r="D556"/>
      <c r="E556" s="2"/>
      <c r="F556"/>
      <c r="G556"/>
      <c r="H556"/>
    </row>
    <row r="557" spans="1:8" s="4" customFormat="1" x14ac:dyDescent="0.25">
      <c r="A557"/>
      <c r="B557"/>
      <c r="C557"/>
      <c r="D557"/>
      <c r="E557" s="2"/>
      <c r="F557"/>
      <c r="G557"/>
      <c r="H557"/>
    </row>
    <row r="558" spans="1:8" s="4" customFormat="1" x14ac:dyDescent="0.25">
      <c r="A558"/>
      <c r="B558"/>
      <c r="C558"/>
      <c r="D558"/>
      <c r="E558" s="2"/>
      <c r="F558"/>
      <c r="G558"/>
      <c r="H558"/>
    </row>
    <row r="559" spans="1:8" s="4" customFormat="1" x14ac:dyDescent="0.25">
      <c r="A559"/>
      <c r="B559"/>
      <c r="C559"/>
      <c r="D559"/>
      <c r="E559" s="2"/>
      <c r="F559"/>
      <c r="G559"/>
      <c r="H559"/>
    </row>
    <row r="560" spans="1:8" s="4" customFormat="1" x14ac:dyDescent="0.25">
      <c r="A560"/>
      <c r="B560"/>
      <c r="C560"/>
      <c r="D560"/>
      <c r="E560" s="2"/>
      <c r="F560"/>
      <c r="G560"/>
      <c r="H560"/>
    </row>
    <row r="561" spans="1:8" s="4" customFormat="1" x14ac:dyDescent="0.25">
      <c r="A561"/>
      <c r="B561"/>
      <c r="C561"/>
      <c r="D561"/>
      <c r="E561" s="2"/>
      <c r="F561"/>
      <c r="G561"/>
      <c r="H561"/>
    </row>
    <row r="562" spans="1:8" s="4" customFormat="1" x14ac:dyDescent="0.25">
      <c r="A562"/>
      <c r="B562"/>
      <c r="C562"/>
      <c r="D562"/>
      <c r="E562" s="2"/>
      <c r="F562"/>
      <c r="G562"/>
      <c r="H562"/>
    </row>
    <row r="563" spans="1:8" s="4" customFormat="1" x14ac:dyDescent="0.25">
      <c r="A563"/>
      <c r="B563"/>
      <c r="C563"/>
      <c r="D563"/>
      <c r="E563" s="2"/>
      <c r="F563"/>
      <c r="G563"/>
      <c r="H563"/>
    </row>
    <row r="564" spans="1:8" s="4" customFormat="1" x14ac:dyDescent="0.25">
      <c r="A564"/>
      <c r="B564"/>
      <c r="C564"/>
      <c r="D564"/>
      <c r="E564" s="2"/>
      <c r="F564"/>
      <c r="G564"/>
      <c r="H564"/>
    </row>
    <row r="565" spans="1:8" s="4" customFormat="1" x14ac:dyDescent="0.25">
      <c r="A565"/>
      <c r="B565"/>
      <c r="C565"/>
      <c r="D565"/>
      <c r="E565" s="2"/>
      <c r="F565"/>
      <c r="G565"/>
      <c r="H565"/>
    </row>
    <row r="566" spans="1:8" s="4" customFormat="1" x14ac:dyDescent="0.25">
      <c r="A566"/>
      <c r="B566"/>
      <c r="C566"/>
      <c r="D566"/>
      <c r="E566" s="2"/>
      <c r="F566"/>
      <c r="G566"/>
      <c r="H566"/>
    </row>
    <row r="567" spans="1:8" s="4" customFormat="1" x14ac:dyDescent="0.25">
      <c r="A567"/>
      <c r="B567"/>
      <c r="C567"/>
      <c r="D567"/>
      <c r="E567" s="2"/>
      <c r="F567"/>
      <c r="G567"/>
      <c r="H567"/>
    </row>
    <row r="568" spans="1:8" s="4" customFormat="1" x14ac:dyDescent="0.25">
      <c r="A568"/>
      <c r="B568"/>
      <c r="C568"/>
      <c r="D568"/>
      <c r="E568" s="2"/>
      <c r="F568"/>
      <c r="G568"/>
      <c r="H568"/>
    </row>
    <row r="569" spans="1:8" s="4" customFormat="1" x14ac:dyDescent="0.25">
      <c r="A569"/>
      <c r="B569"/>
      <c r="C569"/>
      <c r="D569"/>
      <c r="E569" s="2"/>
      <c r="F569"/>
      <c r="G569"/>
      <c r="H569"/>
    </row>
    <row r="570" spans="1:8" s="4" customFormat="1" x14ac:dyDescent="0.25">
      <c r="A570"/>
      <c r="B570"/>
      <c r="C570"/>
      <c r="D570"/>
      <c r="E570" s="2"/>
      <c r="F570"/>
      <c r="G570"/>
      <c r="H570"/>
    </row>
    <row r="571" spans="1:8" s="4" customFormat="1" x14ac:dyDescent="0.25">
      <c r="A571"/>
      <c r="B571"/>
      <c r="C571"/>
      <c r="D571"/>
      <c r="E571" s="2"/>
      <c r="F571"/>
      <c r="G571"/>
      <c r="H571"/>
    </row>
    <row r="572" spans="1:8" s="4" customFormat="1" x14ac:dyDescent="0.25">
      <c r="A572"/>
      <c r="B572"/>
      <c r="C572"/>
      <c r="D572"/>
      <c r="E572" s="2"/>
      <c r="F572"/>
      <c r="G572"/>
      <c r="H572"/>
    </row>
    <row r="573" spans="1:8" s="4" customFormat="1" x14ac:dyDescent="0.25">
      <c r="A573"/>
      <c r="B573"/>
      <c r="C573"/>
      <c r="D573"/>
      <c r="E573" s="2"/>
      <c r="F573"/>
      <c r="G573"/>
      <c r="H573"/>
    </row>
    <row r="574" spans="1:8" s="4" customFormat="1" x14ac:dyDescent="0.25">
      <c r="A574"/>
      <c r="B574"/>
      <c r="C574"/>
      <c r="D574"/>
      <c r="E574" s="2"/>
      <c r="F574"/>
      <c r="G574"/>
      <c r="H574"/>
    </row>
    <row r="575" spans="1:8" s="4" customFormat="1" x14ac:dyDescent="0.25">
      <c r="A575"/>
      <c r="B575"/>
      <c r="C575"/>
      <c r="D575"/>
      <c r="E575" s="2"/>
      <c r="F575"/>
      <c r="G575"/>
      <c r="H575"/>
    </row>
    <row r="576" spans="1:8" s="4" customFormat="1" x14ac:dyDescent="0.25">
      <c r="A576"/>
      <c r="B576"/>
      <c r="C576"/>
      <c r="D576"/>
      <c r="E576" s="2"/>
      <c r="F576"/>
      <c r="G576"/>
      <c r="H576"/>
    </row>
    <row r="577" spans="1:8" s="4" customFormat="1" x14ac:dyDescent="0.25">
      <c r="A577"/>
      <c r="B577"/>
      <c r="C577"/>
      <c r="D577"/>
      <c r="E577" s="2"/>
      <c r="F577"/>
      <c r="G577"/>
      <c r="H577"/>
    </row>
    <row r="578" spans="1:8" s="4" customFormat="1" x14ac:dyDescent="0.25">
      <c r="A578"/>
      <c r="B578"/>
      <c r="C578"/>
      <c r="D578"/>
      <c r="E578" s="2"/>
      <c r="F578"/>
      <c r="G578"/>
      <c r="H578"/>
    </row>
    <row r="579" spans="1:8" s="4" customFormat="1" x14ac:dyDescent="0.25">
      <c r="A579"/>
      <c r="B579"/>
      <c r="C579"/>
      <c r="D579"/>
      <c r="E579" s="2"/>
      <c r="F579"/>
      <c r="G579"/>
      <c r="H579"/>
    </row>
    <row r="580" spans="1:8" s="4" customFormat="1" x14ac:dyDescent="0.25">
      <c r="A580"/>
      <c r="B580"/>
      <c r="C580"/>
      <c r="D580"/>
      <c r="E580" s="2"/>
      <c r="F580"/>
      <c r="G580"/>
      <c r="H580"/>
    </row>
    <row r="581" spans="1:8" s="4" customFormat="1" x14ac:dyDescent="0.25">
      <c r="A581"/>
      <c r="B581"/>
      <c r="C581"/>
      <c r="D581"/>
      <c r="E581" s="2"/>
      <c r="F581"/>
      <c r="G581"/>
      <c r="H581"/>
    </row>
    <row r="582" spans="1:8" s="4" customFormat="1" x14ac:dyDescent="0.25">
      <c r="A582"/>
      <c r="B582"/>
      <c r="C582"/>
      <c r="D582"/>
      <c r="E582" s="2"/>
      <c r="F582"/>
      <c r="G582"/>
      <c r="H582"/>
    </row>
    <row r="583" spans="1:8" s="4" customFormat="1" x14ac:dyDescent="0.25">
      <c r="A583"/>
      <c r="B583"/>
      <c r="C583"/>
      <c r="D583"/>
      <c r="E583" s="2"/>
      <c r="F583"/>
      <c r="G583"/>
      <c r="H583"/>
    </row>
    <row r="584" spans="1:8" s="4" customFormat="1" x14ac:dyDescent="0.25">
      <c r="A584"/>
      <c r="B584"/>
      <c r="C584"/>
      <c r="D584"/>
      <c r="E584" s="2"/>
      <c r="F584"/>
      <c r="G584"/>
      <c r="H584"/>
    </row>
    <row r="585" spans="1:8" s="4" customFormat="1" x14ac:dyDescent="0.25">
      <c r="A585"/>
      <c r="B585"/>
      <c r="C585"/>
      <c r="D585"/>
      <c r="E585" s="2"/>
      <c r="F585"/>
      <c r="G585"/>
      <c r="H585"/>
    </row>
    <row r="586" spans="1:8" s="4" customFormat="1" x14ac:dyDescent="0.25">
      <c r="A586"/>
      <c r="B586"/>
      <c r="C586"/>
      <c r="D586"/>
      <c r="E586" s="2"/>
      <c r="F586"/>
      <c r="G586"/>
      <c r="H586"/>
    </row>
    <row r="587" spans="1:8" s="4" customFormat="1" x14ac:dyDescent="0.25">
      <c r="A587"/>
      <c r="B587"/>
      <c r="C587"/>
      <c r="D587"/>
      <c r="E587" s="2"/>
      <c r="F587"/>
      <c r="G587"/>
      <c r="H587"/>
    </row>
    <row r="588" spans="1:8" s="4" customFormat="1" x14ac:dyDescent="0.25">
      <c r="A588"/>
      <c r="B588"/>
      <c r="C588"/>
      <c r="D588"/>
      <c r="E588" s="2"/>
      <c r="F588"/>
      <c r="G588"/>
      <c r="H588"/>
    </row>
    <row r="589" spans="1:8" s="4" customFormat="1" x14ac:dyDescent="0.25">
      <c r="A589"/>
      <c r="B589"/>
      <c r="C589"/>
      <c r="D589"/>
      <c r="E589" s="2"/>
      <c r="F589"/>
      <c r="G589"/>
      <c r="H589"/>
    </row>
    <row r="590" spans="1:8" s="4" customFormat="1" x14ac:dyDescent="0.25">
      <c r="A590"/>
      <c r="B590"/>
      <c r="C590"/>
      <c r="D590"/>
      <c r="E590" s="2"/>
      <c r="F590"/>
      <c r="G590"/>
      <c r="H590"/>
    </row>
    <row r="591" spans="1:8" s="4" customFormat="1" x14ac:dyDescent="0.25">
      <c r="A591"/>
      <c r="B591"/>
      <c r="C591"/>
      <c r="D591"/>
      <c r="E591" s="2"/>
      <c r="F591"/>
      <c r="G591"/>
      <c r="H591"/>
    </row>
    <row r="592" spans="1:8" s="4" customFormat="1" x14ac:dyDescent="0.25">
      <c r="A592"/>
      <c r="B592"/>
      <c r="C592"/>
      <c r="D592"/>
      <c r="E592" s="2"/>
      <c r="F592"/>
      <c r="G592"/>
      <c r="H592"/>
    </row>
    <row r="593" spans="1:8" s="4" customFormat="1" x14ac:dyDescent="0.25">
      <c r="A593"/>
      <c r="B593"/>
      <c r="C593"/>
      <c r="D593"/>
      <c r="E593" s="2"/>
      <c r="F593"/>
      <c r="G593"/>
      <c r="H593"/>
    </row>
    <row r="594" spans="1:8" s="4" customFormat="1" x14ac:dyDescent="0.25">
      <c r="A594"/>
      <c r="B594"/>
      <c r="C594"/>
      <c r="D594"/>
      <c r="E594" s="2"/>
      <c r="F594"/>
      <c r="G594"/>
      <c r="H594"/>
    </row>
    <row r="595" spans="1:8" s="4" customFormat="1" x14ac:dyDescent="0.25">
      <c r="A595"/>
      <c r="B595"/>
      <c r="C595"/>
      <c r="D595"/>
      <c r="E595" s="2"/>
      <c r="F595"/>
      <c r="G595"/>
      <c r="H595"/>
    </row>
    <row r="596" spans="1:8" s="4" customFormat="1" x14ac:dyDescent="0.25">
      <c r="A596"/>
      <c r="B596"/>
      <c r="C596"/>
      <c r="D596"/>
      <c r="E596" s="2"/>
      <c r="F596"/>
      <c r="G596"/>
      <c r="H596"/>
    </row>
    <row r="597" spans="1:8" s="4" customFormat="1" x14ac:dyDescent="0.25">
      <c r="A597"/>
      <c r="B597"/>
      <c r="C597"/>
      <c r="D597"/>
      <c r="E597" s="2"/>
      <c r="F597"/>
      <c r="G597"/>
      <c r="H597"/>
    </row>
    <row r="598" spans="1:8" s="4" customFormat="1" x14ac:dyDescent="0.25">
      <c r="A598"/>
      <c r="B598"/>
      <c r="C598"/>
      <c r="D598"/>
      <c r="E598" s="2"/>
      <c r="F598"/>
      <c r="G598"/>
      <c r="H598"/>
    </row>
    <row r="599" spans="1:8" s="4" customFormat="1" x14ac:dyDescent="0.25">
      <c r="A599"/>
      <c r="B599"/>
      <c r="C599"/>
      <c r="D599"/>
      <c r="E599" s="2"/>
      <c r="F599"/>
      <c r="G599"/>
      <c r="H599"/>
    </row>
    <row r="600" spans="1:8" s="4" customFormat="1" x14ac:dyDescent="0.25">
      <c r="A600"/>
      <c r="B600"/>
      <c r="C600"/>
      <c r="D600"/>
      <c r="E600" s="2"/>
      <c r="F600"/>
      <c r="G600"/>
      <c r="H600"/>
    </row>
    <row r="601" spans="1:8" s="4" customFormat="1" x14ac:dyDescent="0.25">
      <c r="A601"/>
      <c r="B601"/>
      <c r="C601"/>
      <c r="D601"/>
      <c r="E601" s="2"/>
      <c r="F601"/>
      <c r="G601"/>
      <c r="H601"/>
    </row>
    <row r="602" spans="1:8" s="4" customFormat="1" x14ac:dyDescent="0.25">
      <c r="A602"/>
      <c r="B602"/>
      <c r="C602"/>
      <c r="D602"/>
      <c r="E602" s="2"/>
      <c r="F602"/>
      <c r="G602"/>
      <c r="H602"/>
    </row>
    <row r="603" spans="1:8" s="4" customFormat="1" x14ac:dyDescent="0.25">
      <c r="A603"/>
      <c r="B603"/>
      <c r="C603"/>
      <c r="D603"/>
      <c r="E603" s="2"/>
      <c r="F603"/>
      <c r="G603"/>
      <c r="H603"/>
    </row>
    <row r="604" spans="1:8" s="4" customFormat="1" x14ac:dyDescent="0.25">
      <c r="A604"/>
      <c r="B604"/>
      <c r="C604"/>
      <c r="D604"/>
      <c r="E604" s="2"/>
      <c r="F604"/>
      <c r="G604"/>
      <c r="H604"/>
    </row>
    <row r="605" spans="1:8" s="4" customFormat="1" x14ac:dyDescent="0.25">
      <c r="A605"/>
      <c r="B605"/>
      <c r="C605"/>
      <c r="D605"/>
      <c r="E605" s="2"/>
      <c r="F605"/>
      <c r="G605"/>
      <c r="H605"/>
    </row>
    <row r="606" spans="1:8" s="4" customFormat="1" x14ac:dyDescent="0.25">
      <c r="A606"/>
      <c r="B606"/>
      <c r="C606"/>
      <c r="D606"/>
      <c r="E606" s="2"/>
      <c r="F606"/>
      <c r="G606"/>
      <c r="H606"/>
    </row>
    <row r="607" spans="1:8" s="4" customFormat="1" x14ac:dyDescent="0.25">
      <c r="A607"/>
      <c r="B607"/>
      <c r="C607"/>
      <c r="D607"/>
      <c r="E607" s="2"/>
      <c r="F607"/>
      <c r="G607"/>
      <c r="H607"/>
    </row>
    <row r="608" spans="1:8" s="4" customFormat="1" x14ac:dyDescent="0.25">
      <c r="A608"/>
      <c r="B608"/>
      <c r="C608"/>
      <c r="D608"/>
      <c r="E608" s="2"/>
      <c r="F608"/>
      <c r="G608"/>
      <c r="H608"/>
    </row>
    <row r="609" spans="1:8" s="4" customFormat="1" x14ac:dyDescent="0.25">
      <c r="A609"/>
      <c r="B609"/>
      <c r="C609"/>
      <c r="D609"/>
      <c r="E609" s="2"/>
      <c r="F609"/>
      <c r="G609"/>
      <c r="H609"/>
    </row>
    <row r="610" spans="1:8" s="4" customFormat="1" x14ac:dyDescent="0.25">
      <c r="A610"/>
      <c r="B610"/>
      <c r="C610"/>
      <c r="D610"/>
      <c r="E610" s="2"/>
      <c r="F610"/>
      <c r="G610"/>
      <c r="H610"/>
    </row>
    <row r="611" spans="1:8" s="4" customFormat="1" x14ac:dyDescent="0.25">
      <c r="A611"/>
      <c r="B611"/>
      <c r="C611"/>
      <c r="D611"/>
      <c r="E611" s="2"/>
      <c r="F611"/>
      <c r="G611"/>
      <c r="H611"/>
    </row>
    <row r="612" spans="1:8" s="4" customFormat="1" x14ac:dyDescent="0.25">
      <c r="A612"/>
      <c r="B612"/>
      <c r="C612"/>
      <c r="D612"/>
      <c r="E612" s="2"/>
      <c r="F612"/>
      <c r="G612"/>
      <c r="H612"/>
    </row>
    <row r="613" spans="1:8" s="4" customFormat="1" x14ac:dyDescent="0.25">
      <c r="A613"/>
      <c r="B613"/>
      <c r="C613"/>
      <c r="D613"/>
      <c r="E613" s="2"/>
      <c r="F613"/>
      <c r="G613"/>
      <c r="H613"/>
    </row>
    <row r="614" spans="1:8" s="4" customFormat="1" x14ac:dyDescent="0.25">
      <c r="A614"/>
      <c r="B614"/>
      <c r="C614"/>
      <c r="D614"/>
      <c r="E614" s="2"/>
      <c r="F614"/>
      <c r="G614"/>
      <c r="H614"/>
    </row>
    <row r="615" spans="1:8" s="4" customFormat="1" x14ac:dyDescent="0.25">
      <c r="A615"/>
      <c r="B615"/>
      <c r="C615"/>
      <c r="D615"/>
      <c r="E615" s="2"/>
      <c r="F615"/>
      <c r="G615"/>
      <c r="H615"/>
    </row>
    <row r="616" spans="1:8" s="4" customFormat="1" x14ac:dyDescent="0.25">
      <c r="A616"/>
      <c r="B616"/>
      <c r="C616"/>
      <c r="D616"/>
      <c r="E616" s="2"/>
      <c r="F616"/>
      <c r="G616"/>
      <c r="H616"/>
    </row>
    <row r="617" spans="1:8" s="4" customFormat="1" x14ac:dyDescent="0.25">
      <c r="A617"/>
      <c r="B617"/>
      <c r="C617"/>
      <c r="D617"/>
      <c r="E617" s="2"/>
      <c r="F617"/>
      <c r="G617"/>
      <c r="H617"/>
    </row>
    <row r="618" spans="1:8" s="4" customFormat="1" x14ac:dyDescent="0.25">
      <c r="A618"/>
      <c r="B618"/>
      <c r="C618"/>
      <c r="D618"/>
      <c r="E618" s="2"/>
      <c r="F618"/>
      <c r="G618"/>
      <c r="H618"/>
    </row>
    <row r="619" spans="1:8" s="4" customFormat="1" x14ac:dyDescent="0.25">
      <c r="A619"/>
      <c r="B619"/>
      <c r="C619"/>
      <c r="D619"/>
      <c r="E619" s="2"/>
      <c r="F619"/>
      <c r="G619"/>
      <c r="H619"/>
    </row>
    <row r="620" spans="1:8" s="4" customFormat="1" x14ac:dyDescent="0.25">
      <c r="A620"/>
      <c r="B620"/>
      <c r="C620"/>
      <c r="D620"/>
      <c r="E620" s="2"/>
      <c r="F620"/>
      <c r="G620"/>
      <c r="H620"/>
    </row>
    <row r="621" spans="1:8" s="4" customFormat="1" x14ac:dyDescent="0.25">
      <c r="A621"/>
      <c r="B621"/>
      <c r="C621"/>
      <c r="D621"/>
      <c r="E621" s="2"/>
      <c r="F621"/>
      <c r="G621"/>
      <c r="H621"/>
    </row>
    <row r="622" spans="1:8" s="4" customFormat="1" x14ac:dyDescent="0.25">
      <c r="A622"/>
      <c r="B622"/>
      <c r="C622"/>
      <c r="D622"/>
      <c r="E622" s="2"/>
      <c r="F622"/>
      <c r="G622"/>
      <c r="H622"/>
    </row>
    <row r="623" spans="1:8" s="4" customFormat="1" x14ac:dyDescent="0.25">
      <c r="A623"/>
      <c r="B623"/>
      <c r="C623"/>
      <c r="D623"/>
      <c r="E623" s="2"/>
      <c r="F623"/>
      <c r="G623"/>
      <c r="H623"/>
    </row>
    <row r="624" spans="1:8" s="4" customFormat="1" x14ac:dyDescent="0.25">
      <c r="A624"/>
      <c r="B624"/>
      <c r="C624"/>
      <c r="D624"/>
      <c r="E624" s="2"/>
      <c r="F624"/>
      <c r="G624"/>
      <c r="H624"/>
    </row>
    <row r="625" spans="1:8" s="4" customFormat="1" x14ac:dyDescent="0.25">
      <c r="A625"/>
      <c r="B625"/>
      <c r="C625"/>
      <c r="D625"/>
      <c r="E625" s="2"/>
      <c r="F625"/>
      <c r="G625"/>
      <c r="H625"/>
    </row>
    <row r="626" spans="1:8" s="4" customFormat="1" x14ac:dyDescent="0.25">
      <c r="A626"/>
      <c r="B626"/>
      <c r="C626"/>
      <c r="D626"/>
      <c r="E626" s="2"/>
      <c r="F626"/>
      <c r="G626"/>
      <c r="H626"/>
    </row>
    <row r="627" spans="1:8" s="4" customFormat="1" x14ac:dyDescent="0.25">
      <c r="A627"/>
      <c r="B627"/>
      <c r="C627"/>
      <c r="D627"/>
      <c r="E627" s="2"/>
      <c r="F627"/>
      <c r="G627"/>
      <c r="H627"/>
    </row>
    <row r="628" spans="1:8" s="4" customFormat="1" x14ac:dyDescent="0.25">
      <c r="A628"/>
      <c r="B628"/>
      <c r="C628"/>
      <c r="D628"/>
      <c r="E628" s="2"/>
      <c r="F628"/>
      <c r="G628"/>
      <c r="H628"/>
    </row>
    <row r="629" spans="1:8" s="4" customFormat="1" x14ac:dyDescent="0.25">
      <c r="A629"/>
      <c r="B629"/>
      <c r="C629"/>
      <c r="D629"/>
      <c r="E629" s="2"/>
      <c r="F629"/>
      <c r="G629"/>
      <c r="H629"/>
    </row>
    <row r="630" spans="1:8" s="4" customFormat="1" x14ac:dyDescent="0.25">
      <c r="A630"/>
      <c r="B630"/>
      <c r="C630"/>
      <c r="D630"/>
      <c r="E630" s="2"/>
      <c r="F630"/>
      <c r="G630"/>
      <c r="H630"/>
    </row>
    <row r="631" spans="1:8" s="4" customFormat="1" x14ac:dyDescent="0.25">
      <c r="A631"/>
      <c r="B631"/>
      <c r="C631"/>
      <c r="D631"/>
      <c r="E631" s="2"/>
      <c r="F631"/>
      <c r="G631"/>
      <c r="H631"/>
    </row>
    <row r="632" spans="1:8" s="4" customFormat="1" x14ac:dyDescent="0.25">
      <c r="A632"/>
      <c r="B632"/>
      <c r="C632"/>
      <c r="D632"/>
      <c r="E632" s="2"/>
      <c r="F632"/>
      <c r="G632"/>
      <c r="H632"/>
    </row>
    <row r="633" spans="1:8" s="4" customFormat="1" x14ac:dyDescent="0.25">
      <c r="A633"/>
      <c r="B633"/>
      <c r="C633"/>
      <c r="D633"/>
      <c r="E633" s="2"/>
      <c r="F633"/>
      <c r="G633"/>
      <c r="H633"/>
    </row>
    <row r="634" spans="1:8" s="4" customFormat="1" x14ac:dyDescent="0.25">
      <c r="A634"/>
      <c r="B634"/>
      <c r="C634"/>
      <c r="D634"/>
      <c r="E634" s="2"/>
      <c r="F634"/>
      <c r="G634"/>
      <c r="H634"/>
    </row>
    <row r="635" spans="1:8" s="4" customFormat="1" x14ac:dyDescent="0.25">
      <c r="A635"/>
      <c r="B635"/>
      <c r="C635"/>
      <c r="D635"/>
      <c r="E635" s="2"/>
      <c r="F635"/>
      <c r="G635"/>
      <c r="H635"/>
    </row>
    <row r="636" spans="1:8" s="4" customFormat="1" x14ac:dyDescent="0.25">
      <c r="A636"/>
      <c r="B636"/>
      <c r="C636"/>
      <c r="D636"/>
      <c r="E636" s="2"/>
      <c r="F636"/>
      <c r="G636"/>
      <c r="H636"/>
    </row>
    <row r="637" spans="1:8" s="4" customFormat="1" x14ac:dyDescent="0.25">
      <c r="A637"/>
      <c r="B637"/>
      <c r="C637"/>
      <c r="D637"/>
      <c r="E637" s="2"/>
      <c r="F637"/>
      <c r="G637"/>
      <c r="H637"/>
    </row>
    <row r="638" spans="1:8" s="4" customFormat="1" x14ac:dyDescent="0.25">
      <c r="A638"/>
      <c r="B638"/>
      <c r="C638"/>
      <c r="D638"/>
      <c r="E638" s="2"/>
      <c r="F638"/>
      <c r="G638"/>
      <c r="H638"/>
    </row>
    <row r="639" spans="1:8" s="4" customFormat="1" x14ac:dyDescent="0.25">
      <c r="A639"/>
      <c r="B639"/>
      <c r="C639"/>
      <c r="D639"/>
      <c r="E639" s="2"/>
      <c r="F639"/>
      <c r="G639"/>
      <c r="H639"/>
    </row>
    <row r="640" spans="1:8" s="4" customFormat="1" x14ac:dyDescent="0.25">
      <c r="A640"/>
      <c r="B640"/>
      <c r="C640"/>
      <c r="D640"/>
      <c r="E640" s="2"/>
      <c r="F640"/>
      <c r="G640"/>
      <c r="H640"/>
    </row>
    <row r="641" spans="1:8" s="4" customFormat="1" x14ac:dyDescent="0.25">
      <c r="A641"/>
      <c r="B641"/>
      <c r="C641"/>
      <c r="D641"/>
      <c r="E641" s="2"/>
      <c r="F641"/>
      <c r="G641"/>
      <c r="H641"/>
    </row>
    <row r="642" spans="1:8" s="4" customFormat="1" x14ac:dyDescent="0.25">
      <c r="A642"/>
      <c r="B642"/>
      <c r="C642"/>
      <c r="D642"/>
      <c r="E642" s="2"/>
      <c r="F642"/>
      <c r="G642"/>
      <c r="H642"/>
    </row>
    <row r="643" spans="1:8" s="4" customFormat="1" x14ac:dyDescent="0.25">
      <c r="A643"/>
      <c r="B643"/>
      <c r="C643"/>
      <c r="D643"/>
      <c r="E643" s="2"/>
      <c r="F643"/>
      <c r="G643"/>
      <c r="H643"/>
    </row>
    <row r="644" spans="1:8" s="4" customFormat="1" x14ac:dyDescent="0.25">
      <c r="A644"/>
      <c r="B644"/>
      <c r="C644"/>
      <c r="D644"/>
      <c r="E644" s="2"/>
      <c r="F644"/>
      <c r="G644"/>
      <c r="H644"/>
    </row>
    <row r="645" spans="1:8" s="4" customFormat="1" x14ac:dyDescent="0.25">
      <c r="A645"/>
      <c r="B645"/>
      <c r="C645"/>
      <c r="D645"/>
      <c r="E645" s="2"/>
      <c r="F645"/>
      <c r="G645"/>
      <c r="H645"/>
    </row>
    <row r="646" spans="1:8" s="4" customFormat="1" x14ac:dyDescent="0.25">
      <c r="A646"/>
      <c r="B646"/>
      <c r="C646"/>
      <c r="D646"/>
      <c r="E646" s="2"/>
      <c r="F646"/>
      <c r="G646"/>
      <c r="H646"/>
    </row>
    <row r="647" spans="1:8" s="4" customFormat="1" x14ac:dyDescent="0.25">
      <c r="A647"/>
      <c r="B647"/>
      <c r="C647"/>
      <c r="D647"/>
      <c r="E647" s="2"/>
      <c r="F647"/>
      <c r="G647"/>
      <c r="H647"/>
    </row>
    <row r="648" spans="1:8" s="4" customFormat="1" x14ac:dyDescent="0.25">
      <c r="A648"/>
      <c r="B648"/>
      <c r="C648"/>
      <c r="D648"/>
      <c r="E648" s="2"/>
      <c r="F648"/>
      <c r="G648"/>
      <c r="H648"/>
    </row>
    <row r="649" spans="1:8" s="4" customFormat="1" x14ac:dyDescent="0.25">
      <c r="A649"/>
      <c r="B649"/>
      <c r="C649"/>
      <c r="D649"/>
      <c r="E649" s="2"/>
      <c r="F649"/>
      <c r="G649"/>
      <c r="H649"/>
    </row>
    <row r="650" spans="1:8" s="4" customFormat="1" x14ac:dyDescent="0.25">
      <c r="A650"/>
      <c r="B650"/>
      <c r="C650"/>
      <c r="D650"/>
      <c r="E650" s="2"/>
      <c r="F650"/>
      <c r="G650"/>
      <c r="H650"/>
    </row>
    <row r="651" spans="1:8" s="4" customFormat="1" x14ac:dyDescent="0.25">
      <c r="A651"/>
      <c r="B651"/>
      <c r="C651"/>
      <c r="D651"/>
      <c r="E651" s="2"/>
      <c r="F651"/>
      <c r="G651"/>
      <c r="H651"/>
    </row>
    <row r="652" spans="1:8" s="4" customFormat="1" x14ac:dyDescent="0.25">
      <c r="A652"/>
      <c r="B652"/>
      <c r="C652"/>
      <c r="D652"/>
      <c r="E652" s="2"/>
      <c r="F652"/>
      <c r="G652"/>
      <c r="H652"/>
    </row>
    <row r="653" spans="1:8" s="4" customFormat="1" x14ac:dyDescent="0.25">
      <c r="A653"/>
      <c r="B653"/>
      <c r="C653"/>
      <c r="D653"/>
      <c r="E653" s="2"/>
      <c r="F653"/>
      <c r="G653"/>
      <c r="H653"/>
    </row>
    <row r="654" spans="1:8" s="4" customFormat="1" x14ac:dyDescent="0.25">
      <c r="A654"/>
      <c r="B654"/>
      <c r="C654"/>
      <c r="D654"/>
      <c r="E654" s="2"/>
      <c r="F654"/>
      <c r="G654"/>
      <c r="H654"/>
    </row>
    <row r="655" spans="1:8" s="4" customFormat="1" x14ac:dyDescent="0.25">
      <c r="A655"/>
      <c r="B655"/>
      <c r="C655"/>
      <c r="D655"/>
      <c r="E655" s="2"/>
      <c r="F655"/>
      <c r="G655"/>
      <c r="H655"/>
    </row>
    <row r="656" spans="1:8" s="4" customFormat="1" x14ac:dyDescent="0.25">
      <c r="A656"/>
      <c r="B656"/>
      <c r="C656"/>
      <c r="D656"/>
      <c r="E656" s="2"/>
      <c r="F656"/>
      <c r="G656"/>
      <c r="H656"/>
    </row>
    <row r="657" spans="1:8" s="4" customFormat="1" x14ac:dyDescent="0.25">
      <c r="A657"/>
      <c r="B657"/>
      <c r="C657"/>
      <c r="D657"/>
      <c r="E657" s="2"/>
      <c r="F657"/>
      <c r="G657"/>
      <c r="H657"/>
    </row>
    <row r="658" spans="1:8" s="4" customFormat="1" x14ac:dyDescent="0.25">
      <c r="A658"/>
      <c r="B658"/>
      <c r="C658"/>
      <c r="D658"/>
      <c r="E658" s="2"/>
      <c r="F658"/>
      <c r="G658"/>
      <c r="H658"/>
    </row>
    <row r="659" spans="1:8" s="4" customFormat="1" x14ac:dyDescent="0.25">
      <c r="A659"/>
      <c r="B659"/>
      <c r="C659"/>
      <c r="D659"/>
      <c r="E659" s="2"/>
      <c r="F659"/>
      <c r="G659"/>
      <c r="H659"/>
    </row>
    <row r="660" spans="1:8" s="4" customFormat="1" x14ac:dyDescent="0.25">
      <c r="A660"/>
      <c r="B660"/>
      <c r="C660"/>
      <c r="D660"/>
      <c r="E660" s="2"/>
      <c r="F660"/>
      <c r="G660"/>
      <c r="H660"/>
    </row>
    <row r="661" spans="1:8" s="4" customFormat="1" x14ac:dyDescent="0.25">
      <c r="A661"/>
      <c r="B661"/>
      <c r="C661"/>
      <c r="D661"/>
      <c r="E661" s="2"/>
      <c r="F661"/>
      <c r="G661"/>
      <c r="H661"/>
    </row>
    <row r="662" spans="1:8" s="4" customFormat="1" x14ac:dyDescent="0.25">
      <c r="A662"/>
      <c r="B662"/>
      <c r="C662"/>
      <c r="D662"/>
      <c r="E662" s="2"/>
      <c r="F662"/>
      <c r="G662"/>
      <c r="H662"/>
    </row>
    <row r="663" spans="1:8" s="4" customFormat="1" x14ac:dyDescent="0.25">
      <c r="A663"/>
      <c r="B663"/>
      <c r="C663"/>
      <c r="D663"/>
      <c r="E663" s="2"/>
      <c r="F663"/>
      <c r="G663"/>
      <c r="H663"/>
    </row>
    <row r="664" spans="1:8" s="4" customFormat="1" x14ac:dyDescent="0.25">
      <c r="A664"/>
      <c r="B664"/>
      <c r="C664"/>
      <c r="D664"/>
      <c r="E664" s="2"/>
      <c r="F664"/>
      <c r="G664"/>
      <c r="H664"/>
    </row>
    <row r="665" spans="1:8" s="4" customFormat="1" x14ac:dyDescent="0.25">
      <c r="A665"/>
      <c r="B665"/>
      <c r="C665"/>
      <c r="D665"/>
      <c r="E665" s="2"/>
      <c r="F665"/>
      <c r="G665"/>
      <c r="H665"/>
    </row>
    <row r="666" spans="1:8" s="4" customFormat="1" x14ac:dyDescent="0.25">
      <c r="A666"/>
      <c r="B666"/>
      <c r="C666"/>
      <c r="D666"/>
      <c r="E666" s="2"/>
      <c r="F666"/>
      <c r="G666"/>
      <c r="H666"/>
    </row>
    <row r="667" spans="1:8" s="4" customFormat="1" x14ac:dyDescent="0.25">
      <c r="A667"/>
      <c r="B667"/>
      <c r="C667"/>
      <c r="D667"/>
      <c r="E667" s="2"/>
      <c r="F667"/>
      <c r="G667"/>
      <c r="H667"/>
    </row>
    <row r="668" spans="1:8" s="4" customFormat="1" x14ac:dyDescent="0.25">
      <c r="A668"/>
      <c r="B668"/>
      <c r="C668"/>
      <c r="D668"/>
      <c r="E668" s="2"/>
      <c r="F668"/>
      <c r="G668"/>
      <c r="H668"/>
    </row>
    <row r="669" spans="1:8" s="4" customFormat="1" x14ac:dyDescent="0.25">
      <c r="A669"/>
      <c r="B669"/>
      <c r="C669"/>
      <c r="D669"/>
      <c r="E669" s="2"/>
      <c r="F669"/>
      <c r="G669"/>
      <c r="H669"/>
    </row>
    <row r="670" spans="1:8" s="4" customFormat="1" x14ac:dyDescent="0.25">
      <c r="A670"/>
      <c r="B670"/>
      <c r="C670"/>
      <c r="D670"/>
      <c r="E670" s="2"/>
      <c r="F670"/>
      <c r="G670"/>
      <c r="H670"/>
    </row>
    <row r="671" spans="1:8" s="4" customFormat="1" x14ac:dyDescent="0.25">
      <c r="A671"/>
      <c r="B671"/>
      <c r="C671"/>
      <c r="D671"/>
      <c r="E671" s="2"/>
      <c r="F671"/>
      <c r="G671"/>
      <c r="H671"/>
    </row>
    <row r="672" spans="1:8" s="4" customFormat="1" x14ac:dyDescent="0.25">
      <c r="A672"/>
      <c r="B672"/>
      <c r="C672"/>
      <c r="D672"/>
      <c r="E672" s="2"/>
      <c r="F672"/>
      <c r="G672"/>
      <c r="H672"/>
    </row>
    <row r="673" spans="1:8" s="4" customFormat="1" x14ac:dyDescent="0.25">
      <c r="A673"/>
      <c r="B673"/>
      <c r="C673"/>
      <c r="D673"/>
      <c r="E673" s="2"/>
      <c r="F673"/>
      <c r="G673"/>
      <c r="H673"/>
    </row>
    <row r="674" spans="1:8" s="4" customFormat="1" x14ac:dyDescent="0.25">
      <c r="A674"/>
      <c r="B674"/>
      <c r="C674"/>
      <c r="D674"/>
      <c r="E674" s="2"/>
      <c r="F674"/>
      <c r="G674"/>
      <c r="H674"/>
    </row>
    <row r="675" spans="1:8" s="4" customFormat="1" x14ac:dyDescent="0.25">
      <c r="A675"/>
      <c r="B675"/>
      <c r="C675"/>
      <c r="D675"/>
      <c r="E675" s="2"/>
      <c r="F675"/>
      <c r="G675"/>
      <c r="H675"/>
    </row>
    <row r="676" spans="1:8" s="4" customFormat="1" x14ac:dyDescent="0.25">
      <c r="A676"/>
      <c r="B676"/>
      <c r="C676"/>
      <c r="D676"/>
      <c r="E676" s="2"/>
      <c r="F676"/>
      <c r="G676"/>
      <c r="H676"/>
    </row>
    <row r="677" spans="1:8" s="4" customFormat="1" x14ac:dyDescent="0.25">
      <c r="A677"/>
      <c r="B677"/>
      <c r="C677"/>
      <c r="D677"/>
      <c r="E677" s="2"/>
      <c r="F677"/>
      <c r="G677"/>
      <c r="H677"/>
    </row>
    <row r="678" spans="1:8" s="4" customFormat="1" x14ac:dyDescent="0.25">
      <c r="A678"/>
      <c r="B678"/>
      <c r="C678"/>
      <c r="D678"/>
      <c r="E678" s="2"/>
      <c r="F678"/>
      <c r="G678"/>
      <c r="H678"/>
    </row>
    <row r="679" spans="1:8" s="4" customFormat="1" x14ac:dyDescent="0.25">
      <c r="A679"/>
      <c r="B679"/>
      <c r="C679"/>
      <c r="D679"/>
      <c r="E679" s="2"/>
      <c r="F679"/>
      <c r="G679"/>
      <c r="H679"/>
    </row>
    <row r="680" spans="1:8" s="4" customFormat="1" x14ac:dyDescent="0.25">
      <c r="A680"/>
      <c r="B680"/>
      <c r="C680"/>
      <c r="D680"/>
      <c r="E680" s="2"/>
      <c r="F680"/>
      <c r="G680"/>
      <c r="H680"/>
    </row>
    <row r="681" spans="1:8" s="4" customFormat="1" x14ac:dyDescent="0.25">
      <c r="A681"/>
      <c r="B681"/>
      <c r="C681"/>
      <c r="D681"/>
      <c r="E681" s="2"/>
      <c r="F681"/>
      <c r="G681"/>
      <c r="H681"/>
    </row>
    <row r="682" spans="1:8" s="4" customFormat="1" x14ac:dyDescent="0.25">
      <c r="A682"/>
      <c r="B682"/>
      <c r="C682"/>
      <c r="D682"/>
      <c r="E682" s="2"/>
      <c r="F682"/>
      <c r="G682"/>
      <c r="H682"/>
    </row>
    <row r="683" spans="1:8" s="4" customFormat="1" x14ac:dyDescent="0.25">
      <c r="A683"/>
      <c r="B683"/>
      <c r="C683"/>
      <c r="D683"/>
      <c r="E683" s="2"/>
      <c r="F683"/>
      <c r="G683"/>
      <c r="H683"/>
    </row>
    <row r="684" spans="1:8" s="4" customFormat="1" x14ac:dyDescent="0.25">
      <c r="A684"/>
      <c r="B684"/>
      <c r="C684"/>
      <c r="D684"/>
      <c r="E684" s="2"/>
      <c r="F684"/>
      <c r="G684"/>
      <c r="H684"/>
    </row>
    <row r="685" spans="1:8" s="4" customFormat="1" x14ac:dyDescent="0.25">
      <c r="A685"/>
      <c r="B685"/>
      <c r="C685"/>
      <c r="D685"/>
      <c r="E685" s="2"/>
      <c r="F685"/>
      <c r="G685"/>
      <c r="H685"/>
    </row>
    <row r="686" spans="1:8" s="4" customFormat="1" x14ac:dyDescent="0.25">
      <c r="A686"/>
      <c r="B686"/>
      <c r="C686"/>
      <c r="D686"/>
      <c r="E686" s="2"/>
      <c r="F686"/>
      <c r="G686"/>
      <c r="H686"/>
    </row>
    <row r="687" spans="1:8" s="4" customFormat="1" x14ac:dyDescent="0.25">
      <c r="A687"/>
      <c r="B687"/>
      <c r="C687"/>
      <c r="D687"/>
      <c r="E687" s="2"/>
      <c r="F687"/>
      <c r="G687"/>
      <c r="H687"/>
    </row>
    <row r="688" spans="1:8" s="4" customFormat="1" x14ac:dyDescent="0.25">
      <c r="A688"/>
      <c r="B688"/>
      <c r="C688"/>
      <c r="D688"/>
      <c r="E688" s="2"/>
      <c r="F688"/>
      <c r="G688"/>
      <c r="H688"/>
    </row>
    <row r="689" spans="1:8" s="4" customFormat="1" x14ac:dyDescent="0.25">
      <c r="A689"/>
      <c r="B689"/>
      <c r="C689"/>
      <c r="D689"/>
      <c r="E689" s="2"/>
      <c r="F689"/>
      <c r="G689"/>
      <c r="H689"/>
    </row>
    <row r="690" spans="1:8" s="4" customFormat="1" x14ac:dyDescent="0.25">
      <c r="A690"/>
      <c r="B690"/>
      <c r="C690"/>
      <c r="D690"/>
      <c r="E690" s="2"/>
      <c r="F690"/>
      <c r="G690"/>
      <c r="H690"/>
    </row>
    <row r="691" spans="1:8" s="4" customFormat="1" x14ac:dyDescent="0.25">
      <c r="A691"/>
      <c r="B691"/>
      <c r="C691"/>
      <c r="D691"/>
      <c r="E691" s="2"/>
      <c r="F691"/>
      <c r="G691"/>
      <c r="H691"/>
    </row>
    <row r="692" spans="1:8" s="4" customFormat="1" x14ac:dyDescent="0.25">
      <c r="A692"/>
      <c r="B692"/>
      <c r="C692"/>
      <c r="D692"/>
      <c r="E692" s="2"/>
      <c r="F692"/>
      <c r="G692"/>
      <c r="H692"/>
    </row>
    <row r="693" spans="1:8" s="4" customFormat="1" x14ac:dyDescent="0.25">
      <c r="A693"/>
      <c r="B693"/>
      <c r="C693"/>
      <c r="D693"/>
      <c r="E693" s="2"/>
      <c r="F693"/>
      <c r="G693"/>
      <c r="H693"/>
    </row>
    <row r="694" spans="1:8" s="4" customFormat="1" x14ac:dyDescent="0.25">
      <c r="A694"/>
      <c r="B694"/>
      <c r="C694"/>
      <c r="D694"/>
      <c r="E694" s="2"/>
      <c r="F694"/>
      <c r="G694"/>
      <c r="H694"/>
    </row>
    <row r="695" spans="1:8" s="4" customFormat="1" x14ac:dyDescent="0.25">
      <c r="A695"/>
      <c r="B695"/>
      <c r="C695"/>
      <c r="D695"/>
      <c r="E695" s="2"/>
      <c r="F695"/>
      <c r="G695"/>
      <c r="H695"/>
    </row>
    <row r="696" spans="1:8" s="4" customFormat="1" x14ac:dyDescent="0.25">
      <c r="A696"/>
      <c r="B696"/>
      <c r="C696"/>
      <c r="D696"/>
      <c r="E696" s="2"/>
      <c r="F696"/>
      <c r="G696"/>
      <c r="H696"/>
    </row>
    <row r="697" spans="1:8" s="4" customFormat="1" x14ac:dyDescent="0.25">
      <c r="A697"/>
      <c r="B697"/>
      <c r="C697"/>
      <c r="D697"/>
      <c r="E697" s="2"/>
      <c r="F697"/>
      <c r="G697"/>
      <c r="H697"/>
    </row>
    <row r="698" spans="1:8" s="4" customFormat="1" x14ac:dyDescent="0.25">
      <c r="A698"/>
      <c r="B698"/>
      <c r="C698"/>
      <c r="D698"/>
      <c r="E698" s="2"/>
      <c r="F698"/>
      <c r="G698"/>
      <c r="H698"/>
    </row>
    <row r="699" spans="1:8" s="4" customFormat="1" x14ac:dyDescent="0.25">
      <c r="A699"/>
      <c r="B699"/>
      <c r="C699"/>
      <c r="D699"/>
      <c r="E699" s="2"/>
      <c r="F699"/>
      <c r="G699"/>
      <c r="H699"/>
    </row>
    <row r="700" spans="1:8" s="4" customFormat="1" x14ac:dyDescent="0.25">
      <c r="A700"/>
      <c r="B700"/>
      <c r="C700"/>
      <c r="D700"/>
      <c r="E700" s="2"/>
      <c r="F700"/>
      <c r="G700"/>
      <c r="H700"/>
    </row>
    <row r="701" spans="1:8" s="4" customFormat="1" x14ac:dyDescent="0.25">
      <c r="A701"/>
      <c r="B701"/>
      <c r="C701"/>
      <c r="D701"/>
      <c r="E701" s="2"/>
      <c r="F701"/>
      <c r="G701"/>
      <c r="H701"/>
    </row>
    <row r="702" spans="1:8" s="4" customFormat="1" x14ac:dyDescent="0.25">
      <c r="A702"/>
      <c r="B702"/>
      <c r="C702"/>
      <c r="D702"/>
      <c r="E702" s="2"/>
      <c r="F702"/>
      <c r="G702"/>
      <c r="H702"/>
    </row>
    <row r="703" spans="1:8" s="4" customFormat="1" x14ac:dyDescent="0.25">
      <c r="A703"/>
      <c r="B703"/>
      <c r="C703"/>
      <c r="D703"/>
      <c r="E703" s="2"/>
      <c r="F703"/>
      <c r="G703"/>
      <c r="H703"/>
    </row>
    <row r="704" spans="1:8" s="4" customFormat="1" x14ac:dyDescent="0.25">
      <c r="A704"/>
      <c r="B704"/>
      <c r="C704"/>
      <c r="D704"/>
      <c r="E704" s="2"/>
      <c r="F704"/>
      <c r="G704"/>
      <c r="H704"/>
    </row>
    <row r="705" spans="1:8" s="4" customFormat="1" x14ac:dyDescent="0.25">
      <c r="A705"/>
      <c r="B705"/>
      <c r="C705"/>
      <c r="D705"/>
      <c r="E705" s="2"/>
      <c r="F705"/>
      <c r="G705"/>
      <c r="H705"/>
    </row>
    <row r="706" spans="1:8" s="4" customFormat="1" x14ac:dyDescent="0.25">
      <c r="A706"/>
      <c r="B706"/>
      <c r="C706"/>
      <c r="D706"/>
      <c r="E706" s="2"/>
      <c r="F706"/>
      <c r="G706"/>
      <c r="H706"/>
    </row>
    <row r="707" spans="1:8" s="4" customFormat="1" x14ac:dyDescent="0.25">
      <c r="A707"/>
      <c r="B707"/>
      <c r="C707"/>
      <c r="D707"/>
      <c r="E707" s="2"/>
      <c r="F707"/>
      <c r="G707"/>
      <c r="H707"/>
    </row>
    <row r="708" spans="1:8" s="4" customFormat="1" x14ac:dyDescent="0.25">
      <c r="A708"/>
      <c r="B708"/>
      <c r="C708"/>
      <c r="D708"/>
      <c r="E708" s="2"/>
      <c r="F708"/>
      <c r="G708"/>
      <c r="H708"/>
    </row>
    <row r="709" spans="1:8" s="4" customFormat="1" x14ac:dyDescent="0.25">
      <c r="A709"/>
      <c r="B709"/>
      <c r="C709"/>
      <c r="D709"/>
      <c r="E709" s="2"/>
      <c r="F709"/>
      <c r="G709"/>
      <c r="H709"/>
    </row>
    <row r="710" spans="1:8" s="4" customFormat="1" x14ac:dyDescent="0.25">
      <c r="A710"/>
      <c r="B710"/>
      <c r="C710"/>
      <c r="D710"/>
      <c r="E710" s="2"/>
      <c r="F710"/>
      <c r="G710"/>
      <c r="H710"/>
    </row>
    <row r="711" spans="1:8" s="4" customFormat="1" x14ac:dyDescent="0.25">
      <c r="A711"/>
      <c r="B711"/>
      <c r="C711"/>
      <c r="D711"/>
      <c r="E711" s="2"/>
      <c r="F711"/>
      <c r="G711"/>
      <c r="H711"/>
    </row>
    <row r="712" spans="1:8" s="4" customFormat="1" x14ac:dyDescent="0.25">
      <c r="A712"/>
      <c r="B712"/>
      <c r="C712"/>
      <c r="D712"/>
      <c r="E712" s="2"/>
      <c r="F712"/>
      <c r="G712"/>
      <c r="H712"/>
    </row>
    <row r="713" spans="1:8" s="4" customFormat="1" x14ac:dyDescent="0.25">
      <c r="A713"/>
      <c r="B713"/>
      <c r="C713"/>
      <c r="D713"/>
      <c r="E713" s="2"/>
      <c r="F713"/>
      <c r="G713"/>
      <c r="H713"/>
    </row>
    <row r="714" spans="1:8" s="4" customFormat="1" x14ac:dyDescent="0.25">
      <c r="A714"/>
      <c r="B714"/>
      <c r="C714"/>
      <c r="D714"/>
      <c r="E714" s="2"/>
      <c r="F714"/>
      <c r="G714"/>
      <c r="H714"/>
    </row>
    <row r="715" spans="1:8" s="4" customFormat="1" x14ac:dyDescent="0.25">
      <c r="A715"/>
      <c r="B715"/>
      <c r="C715"/>
      <c r="D715"/>
      <c r="E715" s="2"/>
      <c r="F715"/>
      <c r="G715"/>
      <c r="H715"/>
    </row>
    <row r="716" spans="1:8" s="4" customFormat="1" x14ac:dyDescent="0.25">
      <c r="A716"/>
      <c r="B716"/>
      <c r="C716"/>
      <c r="D716"/>
      <c r="E716" s="2"/>
      <c r="F716"/>
      <c r="G716"/>
      <c r="H716"/>
    </row>
    <row r="717" spans="1:8" s="4" customFormat="1" x14ac:dyDescent="0.25">
      <c r="A717"/>
      <c r="B717"/>
      <c r="C717"/>
      <c r="D717"/>
      <c r="E717" s="2"/>
      <c r="F717"/>
      <c r="G717"/>
      <c r="H717"/>
    </row>
    <row r="718" spans="1:8" s="4" customFormat="1" x14ac:dyDescent="0.25">
      <c r="A718"/>
      <c r="B718"/>
      <c r="C718"/>
      <c r="D718"/>
      <c r="E718" s="2"/>
      <c r="F718"/>
      <c r="G718"/>
      <c r="H718"/>
    </row>
    <row r="719" spans="1:8" s="4" customFormat="1" x14ac:dyDescent="0.25">
      <c r="A719"/>
      <c r="B719"/>
      <c r="C719"/>
      <c r="D719"/>
      <c r="E719" s="2"/>
      <c r="F719"/>
      <c r="G719"/>
      <c r="H719"/>
    </row>
    <row r="720" spans="1:8" s="4" customFormat="1" x14ac:dyDescent="0.25">
      <c r="A720"/>
      <c r="B720"/>
      <c r="C720"/>
      <c r="D720"/>
      <c r="E720" s="2"/>
      <c r="F720"/>
      <c r="G720"/>
      <c r="H720"/>
    </row>
    <row r="721" spans="1:8" s="4" customFormat="1" x14ac:dyDescent="0.25">
      <c r="A721"/>
      <c r="B721"/>
      <c r="C721"/>
      <c r="D721"/>
      <c r="E721" s="2"/>
      <c r="F721"/>
      <c r="G721"/>
      <c r="H721"/>
    </row>
    <row r="722" spans="1:8" s="4" customFormat="1" x14ac:dyDescent="0.25">
      <c r="A722"/>
      <c r="B722"/>
      <c r="C722"/>
      <c r="D722"/>
      <c r="E722" s="2"/>
      <c r="F722"/>
      <c r="G722"/>
      <c r="H722"/>
    </row>
    <row r="723" spans="1:8" s="4" customFormat="1" x14ac:dyDescent="0.25">
      <c r="A723"/>
      <c r="B723"/>
      <c r="C723"/>
      <c r="D723"/>
      <c r="E723" s="2"/>
      <c r="F723"/>
      <c r="G723"/>
      <c r="H723"/>
    </row>
    <row r="724" spans="1:8" s="4" customFormat="1" x14ac:dyDescent="0.25">
      <c r="A724"/>
      <c r="B724"/>
      <c r="C724"/>
      <c r="D724"/>
      <c r="E724" s="2"/>
      <c r="F724"/>
      <c r="G724"/>
      <c r="H724"/>
    </row>
    <row r="725" spans="1:8" s="4" customFormat="1" x14ac:dyDescent="0.25">
      <c r="A725"/>
      <c r="B725"/>
      <c r="C725"/>
      <c r="D725"/>
      <c r="E725" s="2"/>
      <c r="F725"/>
      <c r="G725"/>
      <c r="H725"/>
    </row>
    <row r="726" spans="1:8" s="4" customFormat="1" x14ac:dyDescent="0.25">
      <c r="A726"/>
      <c r="B726"/>
      <c r="C726"/>
      <c r="D726"/>
      <c r="E726" s="2"/>
      <c r="F726"/>
      <c r="G726"/>
      <c r="H726"/>
    </row>
    <row r="727" spans="1:8" s="4" customFormat="1" x14ac:dyDescent="0.25">
      <c r="A727"/>
      <c r="B727"/>
      <c r="C727"/>
      <c r="D727"/>
      <c r="E727" s="2"/>
      <c r="F727"/>
      <c r="G727"/>
      <c r="H727"/>
    </row>
    <row r="728" spans="1:8" s="4" customFormat="1" x14ac:dyDescent="0.25">
      <c r="A728"/>
      <c r="B728"/>
      <c r="C728"/>
      <c r="D728"/>
      <c r="E728" s="2"/>
      <c r="F728"/>
      <c r="G728"/>
      <c r="H728"/>
    </row>
    <row r="729" spans="1:8" s="4" customFormat="1" x14ac:dyDescent="0.25">
      <c r="A729"/>
      <c r="B729"/>
      <c r="C729"/>
      <c r="D729"/>
      <c r="E729" s="2"/>
      <c r="F729"/>
      <c r="G729"/>
      <c r="H729"/>
    </row>
    <row r="730" spans="1:8" s="4" customFormat="1" x14ac:dyDescent="0.25">
      <c r="A730"/>
      <c r="B730"/>
      <c r="C730"/>
      <c r="D730"/>
      <c r="E730" s="2"/>
      <c r="F730"/>
      <c r="G730"/>
      <c r="H730"/>
    </row>
    <row r="731" spans="1:8" s="4" customFormat="1" x14ac:dyDescent="0.25">
      <c r="A731"/>
      <c r="B731"/>
      <c r="C731"/>
      <c r="D731"/>
      <c r="E731" s="2"/>
      <c r="F731"/>
      <c r="G731"/>
      <c r="H731"/>
    </row>
    <row r="732" spans="1:8" s="4" customFormat="1" x14ac:dyDescent="0.25">
      <c r="A732"/>
      <c r="B732"/>
      <c r="C732"/>
      <c r="D732"/>
      <c r="E732" s="2"/>
      <c r="F732"/>
      <c r="G732"/>
      <c r="H732"/>
    </row>
    <row r="733" spans="1:8" s="4" customFormat="1" x14ac:dyDescent="0.25">
      <c r="A733"/>
      <c r="B733"/>
      <c r="C733"/>
      <c r="D733"/>
      <c r="E733" s="2"/>
      <c r="F733"/>
      <c r="G733"/>
      <c r="H733"/>
    </row>
    <row r="734" spans="1:8" s="4" customFormat="1" x14ac:dyDescent="0.25">
      <c r="A734"/>
      <c r="B734"/>
      <c r="C734"/>
      <c r="D734"/>
      <c r="E734" s="2"/>
      <c r="F734"/>
      <c r="G734"/>
      <c r="H734"/>
    </row>
    <row r="735" spans="1:8" s="4" customFormat="1" x14ac:dyDescent="0.25">
      <c r="A735"/>
      <c r="B735"/>
      <c r="C735"/>
      <c r="D735"/>
      <c r="E735" s="2"/>
      <c r="F735"/>
      <c r="G735"/>
      <c r="H735"/>
    </row>
    <row r="736" spans="1:8" s="4" customFormat="1" x14ac:dyDescent="0.25">
      <c r="A736"/>
      <c r="B736"/>
      <c r="C736"/>
      <c r="D736"/>
      <c r="E736" s="2"/>
      <c r="F736"/>
      <c r="G736"/>
      <c r="H736"/>
    </row>
    <row r="737" spans="1:8" s="4" customFormat="1" x14ac:dyDescent="0.25">
      <c r="A737"/>
      <c r="B737"/>
      <c r="C737"/>
      <c r="D737"/>
      <c r="E737" s="2"/>
      <c r="F737"/>
      <c r="G737"/>
      <c r="H737"/>
    </row>
    <row r="738" spans="1:8" s="4" customFormat="1" x14ac:dyDescent="0.25">
      <c r="A738"/>
      <c r="B738"/>
      <c r="C738"/>
      <c r="D738"/>
      <c r="E738" s="2"/>
      <c r="F738"/>
      <c r="G738"/>
      <c r="H738"/>
    </row>
    <row r="739" spans="1:8" s="4" customFormat="1" x14ac:dyDescent="0.25">
      <c r="A739"/>
      <c r="B739"/>
      <c r="C739"/>
      <c r="D739"/>
      <c r="E739" s="2"/>
      <c r="F739"/>
      <c r="G739"/>
      <c r="H739"/>
    </row>
    <row r="740" spans="1:8" s="4" customFormat="1" x14ac:dyDescent="0.25">
      <c r="A740"/>
      <c r="B740"/>
      <c r="C740"/>
      <c r="D740"/>
      <c r="E740" s="2"/>
      <c r="F740"/>
      <c r="G740"/>
      <c r="H740"/>
    </row>
    <row r="741" spans="1:8" s="4" customFormat="1" x14ac:dyDescent="0.25">
      <c r="A741"/>
      <c r="B741"/>
      <c r="C741"/>
      <c r="D741"/>
      <c r="E741" s="2"/>
      <c r="F741"/>
      <c r="G741"/>
      <c r="H741"/>
    </row>
    <row r="742" spans="1:8" s="4" customFormat="1" x14ac:dyDescent="0.25">
      <c r="A742"/>
      <c r="B742"/>
      <c r="C742"/>
      <c r="D742"/>
      <c r="E742" s="2"/>
      <c r="F742"/>
      <c r="G742"/>
      <c r="H742"/>
    </row>
    <row r="743" spans="1:8" s="4" customFormat="1" x14ac:dyDescent="0.25">
      <c r="A743"/>
      <c r="B743"/>
      <c r="C743"/>
      <c r="D743"/>
      <c r="E743" s="2"/>
      <c r="F743"/>
      <c r="G743"/>
      <c r="H743"/>
    </row>
    <row r="744" spans="1:8" s="4" customFormat="1" x14ac:dyDescent="0.25">
      <c r="A744"/>
      <c r="B744"/>
      <c r="C744"/>
      <c r="D744"/>
      <c r="E744" s="2"/>
      <c r="F744"/>
      <c r="G744"/>
      <c r="H744"/>
    </row>
    <row r="745" spans="1:8" s="4" customFormat="1" x14ac:dyDescent="0.25">
      <c r="A745"/>
      <c r="B745"/>
      <c r="C745"/>
      <c r="D745"/>
      <c r="E745" s="2"/>
      <c r="F745"/>
      <c r="G745"/>
      <c r="H745"/>
    </row>
    <row r="746" spans="1:8" s="4" customFormat="1" x14ac:dyDescent="0.25">
      <c r="A746"/>
      <c r="B746"/>
      <c r="C746"/>
      <c r="D746"/>
      <c r="E746" s="2"/>
      <c r="F746"/>
      <c r="G746"/>
      <c r="H746"/>
    </row>
    <row r="747" spans="1:8" s="4" customFormat="1" x14ac:dyDescent="0.25">
      <c r="A747"/>
      <c r="B747"/>
      <c r="C747"/>
      <c r="D747"/>
      <c r="E747" s="2"/>
      <c r="F747"/>
      <c r="G747"/>
      <c r="H747"/>
    </row>
    <row r="748" spans="1:8" s="4" customFormat="1" x14ac:dyDescent="0.25">
      <c r="A748"/>
      <c r="B748"/>
      <c r="C748"/>
      <c r="D748"/>
      <c r="E748" s="2"/>
      <c r="F748"/>
      <c r="G748"/>
      <c r="H748"/>
    </row>
    <row r="749" spans="1:8" s="4" customFormat="1" x14ac:dyDescent="0.25">
      <c r="A749"/>
      <c r="B749"/>
      <c r="C749"/>
      <c r="D749"/>
      <c r="E749" s="2"/>
      <c r="F749"/>
      <c r="G749"/>
      <c r="H749"/>
    </row>
    <row r="750" spans="1:8" s="4" customFormat="1" x14ac:dyDescent="0.25">
      <c r="A750"/>
      <c r="B750"/>
      <c r="C750"/>
      <c r="D750"/>
      <c r="E750" s="2"/>
      <c r="F750"/>
      <c r="G750"/>
      <c r="H750"/>
    </row>
    <row r="751" spans="1:8" s="4" customFormat="1" x14ac:dyDescent="0.25">
      <c r="A751"/>
      <c r="B751"/>
      <c r="C751"/>
      <c r="D751"/>
      <c r="E751" s="2"/>
      <c r="F751"/>
      <c r="G751"/>
      <c r="H751"/>
    </row>
    <row r="752" spans="1:8" s="4" customFormat="1" x14ac:dyDescent="0.25">
      <c r="A752"/>
      <c r="B752"/>
      <c r="C752"/>
      <c r="D752"/>
      <c r="E752" s="2"/>
      <c r="F752"/>
      <c r="G752"/>
      <c r="H752"/>
    </row>
    <row r="753" spans="1:8" s="4" customFormat="1" x14ac:dyDescent="0.25">
      <c r="A753"/>
      <c r="B753"/>
      <c r="C753"/>
      <c r="D753"/>
      <c r="E753" s="2"/>
      <c r="F753"/>
      <c r="G753"/>
      <c r="H753"/>
    </row>
    <row r="754" spans="1:8" s="4" customFormat="1" x14ac:dyDescent="0.25">
      <c r="A754"/>
      <c r="B754"/>
      <c r="C754"/>
      <c r="D754"/>
      <c r="E754" s="2"/>
      <c r="F754"/>
      <c r="G754"/>
      <c r="H754"/>
    </row>
    <row r="755" spans="1:8" s="4" customFormat="1" x14ac:dyDescent="0.25">
      <c r="A755"/>
      <c r="B755"/>
      <c r="C755"/>
      <c r="D755"/>
      <c r="E755" s="2"/>
      <c r="F755"/>
      <c r="G755"/>
      <c r="H755"/>
    </row>
    <row r="756" spans="1:8" s="4" customFormat="1" x14ac:dyDescent="0.25">
      <c r="A756"/>
      <c r="B756"/>
      <c r="C756"/>
      <c r="D756"/>
      <c r="E756" s="2"/>
      <c r="F756"/>
      <c r="G756"/>
      <c r="H756"/>
    </row>
    <row r="757" spans="1:8" s="4" customFormat="1" x14ac:dyDescent="0.25">
      <c r="A757"/>
      <c r="B757"/>
      <c r="C757"/>
      <c r="D757"/>
      <c r="E757" s="2"/>
      <c r="F757"/>
      <c r="G757"/>
      <c r="H757"/>
    </row>
    <row r="758" spans="1:8" s="4" customFormat="1" x14ac:dyDescent="0.25">
      <c r="A758"/>
      <c r="B758"/>
      <c r="C758"/>
      <c r="D758"/>
      <c r="E758" s="2"/>
      <c r="F758"/>
      <c r="G758"/>
      <c r="H758"/>
    </row>
    <row r="759" spans="1:8" s="4" customFormat="1" x14ac:dyDescent="0.25">
      <c r="A759"/>
      <c r="B759"/>
      <c r="C759"/>
      <c r="D759"/>
      <c r="E759" s="2"/>
      <c r="F759"/>
      <c r="G759"/>
      <c r="H759"/>
    </row>
    <row r="760" spans="1:8" s="4" customFormat="1" x14ac:dyDescent="0.25">
      <c r="A760"/>
      <c r="B760"/>
      <c r="C760"/>
      <c r="D760"/>
      <c r="E760" s="2"/>
      <c r="F760"/>
      <c r="G760"/>
      <c r="H760"/>
    </row>
    <row r="761" spans="1:8" s="4" customFormat="1" x14ac:dyDescent="0.25">
      <c r="A761"/>
      <c r="B761"/>
      <c r="C761"/>
      <c r="D761"/>
      <c r="E761" s="2"/>
      <c r="F761"/>
      <c r="G761"/>
      <c r="H761"/>
    </row>
    <row r="762" spans="1:8" s="4" customFormat="1" x14ac:dyDescent="0.25">
      <c r="A762"/>
      <c r="B762"/>
      <c r="C762"/>
      <c r="D762"/>
      <c r="E762" s="2"/>
      <c r="F762"/>
      <c r="G762"/>
      <c r="H762"/>
    </row>
    <row r="763" spans="1:8" s="4" customFormat="1" x14ac:dyDescent="0.25">
      <c r="A763"/>
      <c r="B763"/>
      <c r="C763"/>
      <c r="D763"/>
      <c r="E763" s="2"/>
      <c r="F763"/>
      <c r="G763"/>
      <c r="H763"/>
    </row>
    <row r="764" spans="1:8" s="4" customFormat="1" x14ac:dyDescent="0.25">
      <c r="A764"/>
      <c r="B764"/>
      <c r="C764"/>
      <c r="D764"/>
      <c r="E764" s="2"/>
      <c r="F764"/>
      <c r="G764"/>
      <c r="H764"/>
    </row>
    <row r="765" spans="1:8" s="4" customFormat="1" x14ac:dyDescent="0.25">
      <c r="A765"/>
      <c r="B765"/>
      <c r="C765"/>
      <c r="D765"/>
      <c r="E765" s="2"/>
      <c r="F765"/>
      <c r="G765"/>
      <c r="H765"/>
    </row>
    <row r="766" spans="1:8" s="4" customFormat="1" x14ac:dyDescent="0.25">
      <c r="A766"/>
      <c r="B766"/>
      <c r="C766"/>
      <c r="D766"/>
      <c r="E766" s="2"/>
      <c r="F766"/>
      <c r="G766"/>
      <c r="H766"/>
    </row>
    <row r="767" spans="1:8" s="4" customFormat="1" x14ac:dyDescent="0.25">
      <c r="A767"/>
      <c r="B767"/>
      <c r="C767"/>
      <c r="D767"/>
      <c r="E767" s="2"/>
      <c r="F767"/>
      <c r="G767"/>
      <c r="H767"/>
    </row>
    <row r="768" spans="1:8" s="4" customFormat="1" x14ac:dyDescent="0.25">
      <c r="A768"/>
      <c r="B768"/>
      <c r="C768"/>
      <c r="D768"/>
      <c r="E768" s="2"/>
      <c r="F768"/>
      <c r="G768"/>
      <c r="H768"/>
    </row>
    <row r="769" spans="1:8" s="4" customFormat="1" x14ac:dyDescent="0.25">
      <c r="A769"/>
      <c r="B769"/>
      <c r="C769"/>
      <c r="D769"/>
      <c r="E769" s="2"/>
      <c r="F769"/>
      <c r="G769"/>
      <c r="H769"/>
    </row>
    <row r="770" spans="1:8" s="4" customFormat="1" x14ac:dyDescent="0.25">
      <c r="A770"/>
      <c r="B770"/>
      <c r="C770"/>
      <c r="D770"/>
      <c r="E770" s="2"/>
      <c r="F770"/>
      <c r="G770"/>
      <c r="H770"/>
    </row>
    <row r="771" spans="1:8" s="4" customFormat="1" x14ac:dyDescent="0.25">
      <c r="A771"/>
      <c r="B771"/>
      <c r="C771"/>
      <c r="D771"/>
      <c r="E771" s="2"/>
      <c r="F771"/>
      <c r="G771"/>
      <c r="H771"/>
    </row>
    <row r="772" spans="1:8" s="4" customFormat="1" x14ac:dyDescent="0.25">
      <c r="A772"/>
      <c r="B772"/>
      <c r="C772"/>
      <c r="D772"/>
      <c r="E772" s="2"/>
      <c r="F772"/>
      <c r="G772"/>
      <c r="H772"/>
    </row>
    <row r="773" spans="1:8" s="4" customFormat="1" x14ac:dyDescent="0.25">
      <c r="A773"/>
      <c r="B773"/>
      <c r="C773"/>
      <c r="D773"/>
      <c r="E773" s="2"/>
      <c r="F773"/>
      <c r="G773"/>
      <c r="H773"/>
    </row>
    <row r="774" spans="1:8" s="4" customFormat="1" x14ac:dyDescent="0.25">
      <c r="A774"/>
      <c r="B774"/>
      <c r="C774"/>
      <c r="D774"/>
      <c r="E774" s="2"/>
      <c r="F774"/>
      <c r="G774"/>
      <c r="H774"/>
    </row>
    <row r="775" spans="1:8" s="4" customFormat="1" x14ac:dyDescent="0.25">
      <c r="A775"/>
      <c r="B775"/>
      <c r="C775"/>
      <c r="D775"/>
      <c r="E775" s="2"/>
      <c r="F775"/>
      <c r="G775"/>
      <c r="H775"/>
    </row>
    <row r="776" spans="1:8" s="4" customFormat="1" x14ac:dyDescent="0.25">
      <c r="A776"/>
      <c r="B776"/>
      <c r="C776"/>
      <c r="D776"/>
      <c r="E776" s="2"/>
      <c r="F776"/>
      <c r="G776"/>
      <c r="H776"/>
    </row>
    <row r="777" spans="1:8" s="4" customFormat="1" x14ac:dyDescent="0.25">
      <c r="A777"/>
      <c r="B777"/>
      <c r="C777"/>
      <c r="D777"/>
      <c r="E777" s="2"/>
      <c r="F777"/>
      <c r="G777"/>
      <c r="H777"/>
    </row>
    <row r="778" spans="1:8" s="4" customFormat="1" x14ac:dyDescent="0.25">
      <c r="A778"/>
      <c r="B778"/>
      <c r="C778"/>
      <c r="D778"/>
      <c r="E778" s="2"/>
      <c r="F778"/>
      <c r="G778"/>
      <c r="H778"/>
    </row>
    <row r="779" spans="1:8" s="4" customFormat="1" x14ac:dyDescent="0.25">
      <c r="A779"/>
      <c r="B779"/>
      <c r="C779"/>
      <c r="D779"/>
      <c r="E779" s="2"/>
      <c r="F779"/>
      <c r="G779"/>
      <c r="H779"/>
    </row>
    <row r="780" spans="1:8" s="4" customFormat="1" x14ac:dyDescent="0.25">
      <c r="A780"/>
      <c r="B780"/>
      <c r="C780"/>
      <c r="D780"/>
      <c r="E780" s="2"/>
      <c r="F780"/>
      <c r="G780"/>
      <c r="H780"/>
    </row>
    <row r="781" spans="1:8" s="4" customFormat="1" x14ac:dyDescent="0.25">
      <c r="A781"/>
      <c r="B781"/>
      <c r="C781"/>
      <c r="D781"/>
      <c r="E781" s="2"/>
      <c r="F781"/>
      <c r="G781"/>
      <c r="H781"/>
    </row>
    <row r="782" spans="1:8" s="4" customFormat="1" x14ac:dyDescent="0.25">
      <c r="A782"/>
      <c r="B782"/>
      <c r="C782"/>
      <c r="D782"/>
      <c r="E782" s="2"/>
      <c r="F782"/>
      <c r="G782"/>
      <c r="H782"/>
    </row>
    <row r="783" spans="1:8" s="4" customFormat="1" x14ac:dyDescent="0.25">
      <c r="A783"/>
      <c r="B783"/>
      <c r="C783"/>
      <c r="D783"/>
      <c r="E783" s="2"/>
      <c r="F783"/>
      <c r="G783"/>
      <c r="H783"/>
    </row>
    <row r="784" spans="1:8" s="4" customFormat="1" x14ac:dyDescent="0.25">
      <c r="A784"/>
      <c r="B784"/>
      <c r="C784"/>
      <c r="D784"/>
      <c r="E784" s="2"/>
      <c r="F784"/>
      <c r="G784"/>
      <c r="H784"/>
    </row>
    <row r="785" spans="1:8" s="4" customFormat="1" x14ac:dyDescent="0.25">
      <c r="A785"/>
      <c r="B785"/>
      <c r="C785"/>
      <c r="D785"/>
      <c r="E785" s="2"/>
      <c r="F785"/>
      <c r="G785"/>
      <c r="H785"/>
    </row>
    <row r="786" spans="1:8" s="4" customFormat="1" x14ac:dyDescent="0.25">
      <c r="A786"/>
      <c r="B786"/>
      <c r="C786"/>
      <c r="D786"/>
      <c r="E786" s="2"/>
      <c r="F786"/>
      <c r="G786"/>
      <c r="H786"/>
    </row>
    <row r="787" spans="1:8" s="4" customFormat="1" x14ac:dyDescent="0.25">
      <c r="A787"/>
      <c r="B787"/>
      <c r="C787"/>
      <c r="D787"/>
      <c r="E787" s="2"/>
      <c r="F787"/>
      <c r="G787"/>
      <c r="H787"/>
    </row>
    <row r="788" spans="1:8" s="4" customFormat="1" x14ac:dyDescent="0.25">
      <c r="A788"/>
      <c r="B788"/>
      <c r="C788"/>
      <c r="D788"/>
      <c r="E788" s="2"/>
      <c r="F788"/>
      <c r="G788"/>
      <c r="H788"/>
    </row>
    <row r="789" spans="1:8" s="4" customFormat="1" x14ac:dyDescent="0.25">
      <c r="A789"/>
      <c r="B789"/>
      <c r="C789"/>
      <c r="D789"/>
      <c r="E789" s="2"/>
      <c r="F789"/>
      <c r="G789"/>
      <c r="H789"/>
    </row>
    <row r="790" spans="1:8" s="4" customFormat="1" x14ac:dyDescent="0.25">
      <c r="A790"/>
      <c r="B790"/>
      <c r="C790"/>
      <c r="D790"/>
      <c r="E790" s="2"/>
      <c r="F790"/>
      <c r="G790"/>
      <c r="H790"/>
    </row>
    <row r="791" spans="1:8" s="4" customFormat="1" x14ac:dyDescent="0.25">
      <c r="A791"/>
      <c r="B791"/>
      <c r="C791"/>
      <c r="D791"/>
      <c r="E791" s="2"/>
      <c r="F791"/>
      <c r="G791"/>
      <c r="H791"/>
    </row>
    <row r="792" spans="1:8" s="4" customFormat="1" x14ac:dyDescent="0.25">
      <c r="A792"/>
      <c r="B792"/>
      <c r="C792"/>
      <c r="D792"/>
      <c r="E792" s="2"/>
      <c r="F792"/>
      <c r="G792"/>
      <c r="H792"/>
    </row>
    <row r="793" spans="1:8" s="4" customFormat="1" x14ac:dyDescent="0.25">
      <c r="A793"/>
      <c r="B793"/>
      <c r="C793"/>
      <c r="D793"/>
      <c r="E793" s="2"/>
      <c r="F793"/>
      <c r="G793"/>
      <c r="H793"/>
    </row>
    <row r="794" spans="1:8" s="4" customFormat="1" x14ac:dyDescent="0.25">
      <c r="A794"/>
      <c r="B794"/>
      <c r="C794"/>
      <c r="D794"/>
      <c r="E794" s="2"/>
      <c r="F794"/>
      <c r="G794"/>
      <c r="H794"/>
    </row>
    <row r="795" spans="1:8" s="4" customFormat="1" x14ac:dyDescent="0.25">
      <c r="A795"/>
      <c r="B795"/>
      <c r="C795"/>
      <c r="D795"/>
      <c r="E795" s="2"/>
      <c r="F795"/>
      <c r="G795"/>
      <c r="H795"/>
    </row>
    <row r="796" spans="1:8" s="4" customFormat="1" x14ac:dyDescent="0.25">
      <c r="A796"/>
      <c r="B796"/>
      <c r="C796"/>
      <c r="D796"/>
      <c r="E796" s="2"/>
      <c r="F796"/>
      <c r="G796"/>
      <c r="H796"/>
    </row>
    <row r="797" spans="1:8" s="4" customFormat="1" x14ac:dyDescent="0.25">
      <c r="A797"/>
      <c r="B797"/>
      <c r="C797"/>
      <c r="D797"/>
      <c r="E797" s="2"/>
      <c r="F797"/>
      <c r="G797"/>
      <c r="H797"/>
    </row>
    <row r="798" spans="1:8" s="4" customFormat="1" x14ac:dyDescent="0.25">
      <c r="A798"/>
      <c r="B798"/>
      <c r="C798"/>
      <c r="D798"/>
      <c r="E798" s="2"/>
      <c r="F798"/>
      <c r="G798"/>
      <c r="H798"/>
    </row>
    <row r="799" spans="1:8" s="4" customFormat="1" x14ac:dyDescent="0.25">
      <c r="A799"/>
      <c r="B799"/>
      <c r="C799"/>
      <c r="D799"/>
      <c r="E799" s="2"/>
      <c r="F799"/>
      <c r="G799"/>
      <c r="H799"/>
    </row>
    <row r="800" spans="1:8" s="4" customFormat="1" x14ac:dyDescent="0.25">
      <c r="A800"/>
      <c r="B800"/>
      <c r="C800"/>
      <c r="D800"/>
      <c r="E800" s="2"/>
      <c r="F800"/>
      <c r="G800"/>
      <c r="H800"/>
    </row>
    <row r="801" spans="1:8" s="4" customFormat="1" x14ac:dyDescent="0.25">
      <c r="A801"/>
      <c r="B801"/>
      <c r="C801"/>
      <c r="D801"/>
      <c r="E801" s="2"/>
      <c r="F801"/>
      <c r="G801"/>
      <c r="H801"/>
    </row>
    <row r="802" spans="1:8" s="4" customFormat="1" x14ac:dyDescent="0.25">
      <c r="A802"/>
      <c r="B802"/>
      <c r="C802"/>
      <c r="D802"/>
      <c r="E802" s="2"/>
      <c r="F802"/>
      <c r="G802"/>
      <c r="H802"/>
    </row>
    <row r="803" spans="1:8" s="4" customFormat="1" x14ac:dyDescent="0.25">
      <c r="A803"/>
      <c r="B803"/>
      <c r="C803"/>
      <c r="D803"/>
      <c r="E803" s="2"/>
      <c r="F803"/>
      <c r="G803"/>
      <c r="H803"/>
    </row>
    <row r="804" spans="1:8" s="4" customFormat="1" x14ac:dyDescent="0.25">
      <c r="A804"/>
      <c r="B804"/>
      <c r="C804"/>
      <c r="D804"/>
      <c r="E804" s="2"/>
      <c r="F804"/>
      <c r="G804"/>
      <c r="H804"/>
    </row>
    <row r="805" spans="1:8" s="4" customFormat="1" x14ac:dyDescent="0.25">
      <c r="A805"/>
      <c r="B805"/>
      <c r="C805"/>
      <c r="D805"/>
      <c r="E805" s="2"/>
      <c r="F805"/>
      <c r="G805"/>
      <c r="H805"/>
    </row>
    <row r="806" spans="1:8" s="4" customFormat="1" x14ac:dyDescent="0.25">
      <c r="A806"/>
      <c r="B806"/>
      <c r="C806"/>
      <c r="D806"/>
      <c r="E806" s="2"/>
      <c r="F806"/>
      <c r="G806"/>
      <c r="H806"/>
    </row>
    <row r="807" spans="1:8" s="4" customFormat="1" x14ac:dyDescent="0.25">
      <c r="A807"/>
      <c r="B807"/>
      <c r="C807"/>
      <c r="D807"/>
      <c r="E807" s="2"/>
      <c r="F807"/>
      <c r="G807"/>
      <c r="H807"/>
    </row>
    <row r="808" spans="1:8" s="4" customFormat="1" x14ac:dyDescent="0.25">
      <c r="A808"/>
      <c r="B808"/>
      <c r="C808"/>
      <c r="D808"/>
      <c r="E808" s="2"/>
      <c r="F808"/>
      <c r="G808"/>
      <c r="H808"/>
    </row>
    <row r="809" spans="1:8" s="4" customFormat="1" x14ac:dyDescent="0.25">
      <c r="A809"/>
      <c r="B809"/>
      <c r="C809"/>
      <c r="D809"/>
      <c r="E809" s="2"/>
      <c r="F809"/>
      <c r="G809"/>
      <c r="H80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75"/>
  <sheetViews>
    <sheetView workbookViewId="0">
      <selection activeCell="D16" sqref="D16"/>
    </sheetView>
  </sheetViews>
  <sheetFormatPr defaultRowHeight="15" x14ac:dyDescent="0.25"/>
  <cols>
    <col min="1" max="1" width="4.28515625" customWidth="1"/>
    <col min="2" max="2" width="11" style="2" bestFit="1" customWidth="1"/>
    <col min="3" max="3" width="16.7109375" style="3" bestFit="1" customWidth="1"/>
    <col min="4" max="4" width="54.7109375" style="9" customWidth="1"/>
    <col min="6" max="6" width="13.140625" style="2" customWidth="1"/>
    <col min="7" max="7" width="48.7109375" style="9" customWidth="1"/>
  </cols>
  <sheetData>
    <row r="1" spans="1:7" s="3" customFormat="1" x14ac:dyDescent="0.25">
      <c r="B1" s="2"/>
      <c r="D1" s="9"/>
      <c r="F1" s="2"/>
      <c r="G1" s="9"/>
    </row>
    <row r="2" spans="1:7" ht="30" x14ac:dyDescent="0.25">
      <c r="A2" s="1" t="s">
        <v>25</v>
      </c>
      <c r="B2" s="10" t="s">
        <v>37</v>
      </c>
      <c r="C2" s="1" t="s">
        <v>38</v>
      </c>
      <c r="D2" s="12" t="s">
        <v>8</v>
      </c>
      <c r="E2" s="1" t="s">
        <v>32</v>
      </c>
      <c r="F2" s="11" t="s">
        <v>39</v>
      </c>
      <c r="G2" s="12" t="s">
        <v>36</v>
      </c>
    </row>
    <row r="3" spans="1:7" ht="30" x14ac:dyDescent="0.25">
      <c r="A3">
        <v>1</v>
      </c>
      <c r="B3" s="13">
        <v>42469</v>
      </c>
      <c r="C3" s="14" t="str">
        <f>IF(B3="","","Adam Pemberton")</f>
        <v>Adam Pemberton</v>
      </c>
      <c r="D3" s="15" t="s">
        <v>40</v>
      </c>
      <c r="E3" s="6" t="s">
        <v>41</v>
      </c>
      <c r="F3" s="16">
        <v>42469</v>
      </c>
      <c r="G3" s="17" t="s">
        <v>42</v>
      </c>
    </row>
    <row r="4" spans="1:7" ht="30" x14ac:dyDescent="0.25">
      <c r="A4">
        <v>2</v>
      </c>
      <c r="B4" s="13">
        <v>42470</v>
      </c>
      <c r="C4" s="14" t="str">
        <f>IF(B4="","","Adam Pemberton")</f>
        <v>Adam Pemberton</v>
      </c>
      <c r="D4" s="15" t="s">
        <v>43</v>
      </c>
      <c r="E4" s="6" t="str">
        <f>IF(B4="","","Bad")</f>
        <v>Bad</v>
      </c>
      <c r="F4" s="16"/>
      <c r="G4" s="17" t="s">
        <v>44</v>
      </c>
    </row>
    <row r="5" spans="1:7" ht="30" x14ac:dyDescent="0.25">
      <c r="A5" s="3">
        <v>3</v>
      </c>
      <c r="B5" s="13">
        <v>42470</v>
      </c>
      <c r="C5" s="14" t="str">
        <f t="shared" ref="C5:C68" si="0">IF(B5="","","Adam Pemberton")</f>
        <v>Adam Pemberton</v>
      </c>
      <c r="D5" s="15" t="s">
        <v>45</v>
      </c>
      <c r="E5" s="6" t="str">
        <f t="shared" ref="E5:E68" si="1">IF(B5="","","Bad")</f>
        <v>Bad</v>
      </c>
      <c r="F5" s="16"/>
      <c r="G5" s="17" t="s">
        <v>46</v>
      </c>
    </row>
    <row r="6" spans="1:7" x14ac:dyDescent="0.25">
      <c r="A6" s="3">
        <v>4</v>
      </c>
      <c r="B6" s="13">
        <v>42512</v>
      </c>
      <c r="C6" s="14" t="str">
        <f t="shared" si="0"/>
        <v>Adam Pemberton</v>
      </c>
      <c r="D6" s="15" t="s">
        <v>47</v>
      </c>
      <c r="E6" s="6" t="str">
        <f t="shared" si="1"/>
        <v>Bad</v>
      </c>
      <c r="F6" s="16"/>
      <c r="G6" s="17"/>
    </row>
    <row r="7" spans="1:7" ht="30" x14ac:dyDescent="0.25">
      <c r="A7" s="3">
        <v>5</v>
      </c>
      <c r="B7" s="13">
        <v>42552</v>
      </c>
      <c r="C7" s="14" t="str">
        <f t="shared" si="0"/>
        <v>Adam Pemberton</v>
      </c>
      <c r="D7" s="15" t="s">
        <v>79</v>
      </c>
      <c r="E7" s="6" t="s">
        <v>80</v>
      </c>
      <c r="F7" s="16"/>
      <c r="G7" s="17" t="s">
        <v>81</v>
      </c>
    </row>
    <row r="8" spans="1:7" x14ac:dyDescent="0.25">
      <c r="A8" s="3">
        <v>6</v>
      </c>
      <c r="B8" s="13">
        <v>42554</v>
      </c>
      <c r="C8" s="14" t="s">
        <v>82</v>
      </c>
      <c r="D8" s="15" t="s">
        <v>83</v>
      </c>
      <c r="E8" s="6" t="s">
        <v>84</v>
      </c>
      <c r="F8" s="16"/>
      <c r="G8" s="17"/>
    </row>
    <row r="9" spans="1:7" ht="30" x14ac:dyDescent="0.25">
      <c r="A9" s="3">
        <v>7</v>
      </c>
      <c r="B9" s="13">
        <v>42554</v>
      </c>
      <c r="C9" s="14" t="s">
        <v>82</v>
      </c>
      <c r="D9" s="15" t="s">
        <v>85</v>
      </c>
      <c r="E9" s="6" t="s">
        <v>80</v>
      </c>
      <c r="F9" s="16"/>
      <c r="G9" s="17"/>
    </row>
    <row r="10" spans="1:7" x14ac:dyDescent="0.25">
      <c r="A10" s="3">
        <v>8</v>
      </c>
      <c r="B10" s="13"/>
      <c r="C10" s="14" t="str">
        <f t="shared" si="0"/>
        <v/>
      </c>
      <c r="D10" s="15"/>
      <c r="E10" s="6" t="str">
        <f t="shared" si="1"/>
        <v/>
      </c>
      <c r="F10" s="16"/>
      <c r="G10" s="17"/>
    </row>
    <row r="11" spans="1:7" x14ac:dyDescent="0.25">
      <c r="A11" s="3">
        <v>9</v>
      </c>
      <c r="B11" s="13"/>
      <c r="C11" s="14" t="str">
        <f t="shared" si="0"/>
        <v/>
      </c>
      <c r="D11" s="15"/>
      <c r="E11" s="6" t="str">
        <f t="shared" si="1"/>
        <v/>
      </c>
      <c r="F11" s="16"/>
      <c r="G11" s="17"/>
    </row>
    <row r="12" spans="1:7" x14ac:dyDescent="0.25">
      <c r="A12" s="3">
        <v>10</v>
      </c>
      <c r="B12" s="13"/>
      <c r="C12" s="14" t="str">
        <f t="shared" si="0"/>
        <v/>
      </c>
      <c r="D12" s="15"/>
      <c r="E12" s="6" t="str">
        <f t="shared" si="1"/>
        <v/>
      </c>
      <c r="F12" s="16"/>
      <c r="G12" s="17"/>
    </row>
    <row r="13" spans="1:7" x14ac:dyDescent="0.25">
      <c r="A13" s="3">
        <v>11</v>
      </c>
      <c r="B13" s="13"/>
      <c r="C13" s="14" t="str">
        <f t="shared" si="0"/>
        <v/>
      </c>
      <c r="D13" s="15"/>
      <c r="E13" s="6" t="str">
        <f t="shared" si="1"/>
        <v/>
      </c>
      <c r="F13" s="16"/>
      <c r="G13" s="17"/>
    </row>
    <row r="14" spans="1:7" x14ac:dyDescent="0.25">
      <c r="A14" s="3">
        <v>12</v>
      </c>
      <c r="B14" s="13"/>
      <c r="C14" s="14" t="str">
        <f t="shared" si="0"/>
        <v/>
      </c>
      <c r="D14" s="15"/>
      <c r="E14" s="6" t="str">
        <f t="shared" si="1"/>
        <v/>
      </c>
      <c r="F14" s="16"/>
      <c r="G14" s="17"/>
    </row>
    <row r="15" spans="1:7" x14ac:dyDescent="0.25">
      <c r="A15" s="3">
        <v>13</v>
      </c>
      <c r="B15" s="13"/>
      <c r="C15" s="14" t="str">
        <f t="shared" si="0"/>
        <v/>
      </c>
      <c r="D15" s="15"/>
      <c r="E15" s="6" t="str">
        <f t="shared" si="1"/>
        <v/>
      </c>
      <c r="F15" s="16"/>
      <c r="G15" s="17"/>
    </row>
    <row r="16" spans="1:7" x14ac:dyDescent="0.25">
      <c r="A16" s="3">
        <v>14</v>
      </c>
      <c r="B16" s="13"/>
      <c r="C16" s="14" t="str">
        <f t="shared" si="0"/>
        <v/>
      </c>
      <c r="D16" s="15"/>
      <c r="E16" s="6" t="str">
        <f t="shared" si="1"/>
        <v/>
      </c>
      <c r="F16" s="16"/>
      <c r="G16" s="17"/>
    </row>
    <row r="17" spans="1:7" x14ac:dyDescent="0.25">
      <c r="A17" s="3">
        <v>15</v>
      </c>
      <c r="B17" s="13"/>
      <c r="C17" s="14" t="str">
        <f t="shared" si="0"/>
        <v/>
      </c>
      <c r="D17" s="15"/>
      <c r="E17" s="6" t="str">
        <f t="shared" si="1"/>
        <v/>
      </c>
      <c r="F17" s="16"/>
      <c r="G17" s="17"/>
    </row>
    <row r="18" spans="1:7" x14ac:dyDescent="0.25">
      <c r="A18" s="3">
        <v>16</v>
      </c>
      <c r="B18" s="13"/>
      <c r="C18" s="14" t="str">
        <f t="shared" si="0"/>
        <v/>
      </c>
      <c r="D18" s="15"/>
      <c r="E18" s="6" t="str">
        <f t="shared" si="1"/>
        <v/>
      </c>
      <c r="F18" s="16"/>
      <c r="G18" s="17"/>
    </row>
    <row r="19" spans="1:7" x14ac:dyDescent="0.25">
      <c r="A19" s="3">
        <v>17</v>
      </c>
      <c r="B19" s="13"/>
      <c r="C19" s="14" t="str">
        <f t="shared" si="0"/>
        <v/>
      </c>
      <c r="D19" s="15"/>
      <c r="E19" s="6" t="str">
        <f t="shared" si="1"/>
        <v/>
      </c>
      <c r="F19" s="16"/>
      <c r="G19" s="17"/>
    </row>
    <row r="20" spans="1:7" x14ac:dyDescent="0.25">
      <c r="A20" s="3">
        <v>18</v>
      </c>
      <c r="B20" s="13"/>
      <c r="C20" s="14" t="str">
        <f t="shared" si="0"/>
        <v/>
      </c>
      <c r="D20" s="15"/>
      <c r="E20" s="6" t="str">
        <f t="shared" si="1"/>
        <v/>
      </c>
      <c r="F20" s="16"/>
      <c r="G20" s="17"/>
    </row>
    <row r="21" spans="1:7" x14ac:dyDescent="0.25">
      <c r="A21" s="3">
        <v>19</v>
      </c>
      <c r="B21" s="13"/>
      <c r="C21" s="14" t="str">
        <f t="shared" si="0"/>
        <v/>
      </c>
      <c r="D21" s="15"/>
      <c r="E21" s="6" t="str">
        <f t="shared" si="1"/>
        <v/>
      </c>
      <c r="F21" s="16"/>
      <c r="G21" s="17"/>
    </row>
    <row r="22" spans="1:7" x14ac:dyDescent="0.25">
      <c r="A22" s="3">
        <v>20</v>
      </c>
      <c r="B22" s="13"/>
      <c r="C22" s="14" t="str">
        <f t="shared" si="0"/>
        <v/>
      </c>
      <c r="D22" s="15"/>
      <c r="E22" s="6" t="str">
        <f t="shared" si="1"/>
        <v/>
      </c>
      <c r="F22" s="16"/>
      <c r="G22" s="17"/>
    </row>
    <row r="23" spans="1:7" x14ac:dyDescent="0.25">
      <c r="A23" s="3">
        <v>21</v>
      </c>
      <c r="B23" s="13"/>
      <c r="C23" s="14" t="str">
        <f t="shared" si="0"/>
        <v/>
      </c>
      <c r="D23" s="15"/>
      <c r="E23" s="6" t="str">
        <f t="shared" si="1"/>
        <v/>
      </c>
      <c r="F23" s="16"/>
      <c r="G23" s="17"/>
    </row>
    <row r="24" spans="1:7" x14ac:dyDescent="0.25">
      <c r="A24" s="3">
        <v>22</v>
      </c>
      <c r="B24" s="13"/>
      <c r="C24" s="14" t="str">
        <f t="shared" si="0"/>
        <v/>
      </c>
      <c r="D24" s="15"/>
      <c r="E24" s="6" t="str">
        <f t="shared" si="1"/>
        <v/>
      </c>
      <c r="F24" s="16"/>
      <c r="G24" s="17"/>
    </row>
    <row r="25" spans="1:7" x14ac:dyDescent="0.25">
      <c r="A25" s="3">
        <v>23</v>
      </c>
      <c r="B25" s="13"/>
      <c r="C25" s="14" t="str">
        <f t="shared" si="0"/>
        <v/>
      </c>
      <c r="D25" s="15"/>
      <c r="E25" s="6" t="str">
        <f t="shared" si="1"/>
        <v/>
      </c>
      <c r="F25" s="16"/>
      <c r="G25" s="17"/>
    </row>
    <row r="26" spans="1:7" x14ac:dyDescent="0.25">
      <c r="A26" s="3">
        <v>24</v>
      </c>
      <c r="B26" s="13"/>
      <c r="C26" s="14" t="str">
        <f t="shared" si="0"/>
        <v/>
      </c>
      <c r="D26" s="15"/>
      <c r="E26" s="6" t="str">
        <f t="shared" si="1"/>
        <v/>
      </c>
      <c r="F26" s="16"/>
      <c r="G26" s="17"/>
    </row>
    <row r="27" spans="1:7" x14ac:dyDescent="0.25">
      <c r="A27" s="3">
        <v>25</v>
      </c>
      <c r="B27" s="13"/>
      <c r="C27" s="14" t="str">
        <f t="shared" si="0"/>
        <v/>
      </c>
      <c r="D27" s="15"/>
      <c r="E27" s="6" t="str">
        <f t="shared" si="1"/>
        <v/>
      </c>
      <c r="F27" s="16"/>
      <c r="G27" s="17"/>
    </row>
    <row r="28" spans="1:7" x14ac:dyDescent="0.25">
      <c r="A28" s="3">
        <v>26</v>
      </c>
      <c r="B28" s="13"/>
      <c r="C28" s="14" t="str">
        <f t="shared" si="0"/>
        <v/>
      </c>
      <c r="D28" s="15"/>
      <c r="E28" s="6" t="str">
        <f t="shared" si="1"/>
        <v/>
      </c>
      <c r="F28" s="16"/>
      <c r="G28" s="17"/>
    </row>
    <row r="29" spans="1:7" x14ac:dyDescent="0.25">
      <c r="A29" s="3">
        <v>27</v>
      </c>
      <c r="B29" s="13"/>
      <c r="C29" s="14" t="str">
        <f t="shared" si="0"/>
        <v/>
      </c>
      <c r="D29" s="15"/>
      <c r="E29" s="6" t="str">
        <f t="shared" si="1"/>
        <v/>
      </c>
      <c r="F29" s="16"/>
      <c r="G29" s="17"/>
    </row>
    <row r="30" spans="1:7" x14ac:dyDescent="0.25">
      <c r="A30" s="3">
        <v>28</v>
      </c>
      <c r="B30" s="13"/>
      <c r="C30" s="14" t="str">
        <f t="shared" si="0"/>
        <v/>
      </c>
      <c r="D30" s="15"/>
      <c r="E30" s="6" t="str">
        <f t="shared" si="1"/>
        <v/>
      </c>
      <c r="F30" s="16"/>
      <c r="G30" s="17"/>
    </row>
    <row r="31" spans="1:7" x14ac:dyDescent="0.25">
      <c r="A31" s="3">
        <v>29</v>
      </c>
      <c r="B31" s="13"/>
      <c r="C31" s="14" t="str">
        <f t="shared" si="0"/>
        <v/>
      </c>
      <c r="D31" s="15"/>
      <c r="E31" s="6" t="str">
        <f t="shared" si="1"/>
        <v/>
      </c>
      <c r="F31" s="16"/>
      <c r="G31" s="17"/>
    </row>
    <row r="32" spans="1:7" x14ac:dyDescent="0.25">
      <c r="A32" s="3">
        <v>30</v>
      </c>
      <c r="B32" s="13"/>
      <c r="C32" s="14" t="str">
        <f t="shared" si="0"/>
        <v/>
      </c>
      <c r="D32" s="15"/>
      <c r="E32" s="6" t="str">
        <f t="shared" si="1"/>
        <v/>
      </c>
      <c r="F32" s="16"/>
      <c r="G32" s="17"/>
    </row>
    <row r="33" spans="1:7" x14ac:dyDescent="0.25">
      <c r="A33" s="3">
        <v>31</v>
      </c>
      <c r="B33" s="13"/>
      <c r="C33" s="14" t="str">
        <f t="shared" si="0"/>
        <v/>
      </c>
      <c r="D33" s="15"/>
      <c r="E33" s="6" t="str">
        <f t="shared" si="1"/>
        <v/>
      </c>
      <c r="F33" s="16"/>
      <c r="G33" s="17"/>
    </row>
    <row r="34" spans="1:7" x14ac:dyDescent="0.25">
      <c r="A34" s="3">
        <v>32</v>
      </c>
      <c r="B34" s="13"/>
      <c r="C34" s="14" t="str">
        <f t="shared" si="0"/>
        <v/>
      </c>
      <c r="D34" s="15"/>
      <c r="E34" s="6" t="str">
        <f t="shared" si="1"/>
        <v/>
      </c>
      <c r="F34" s="16"/>
      <c r="G34" s="17"/>
    </row>
    <row r="35" spans="1:7" x14ac:dyDescent="0.25">
      <c r="A35" s="3">
        <v>33</v>
      </c>
      <c r="B35" s="13"/>
      <c r="C35" s="14" t="str">
        <f t="shared" si="0"/>
        <v/>
      </c>
      <c r="D35" s="15"/>
      <c r="E35" s="6" t="str">
        <f t="shared" si="1"/>
        <v/>
      </c>
      <c r="F35" s="16"/>
      <c r="G35" s="17"/>
    </row>
    <row r="36" spans="1:7" x14ac:dyDescent="0.25">
      <c r="A36" s="3">
        <v>34</v>
      </c>
      <c r="B36" s="13"/>
      <c r="C36" s="14" t="str">
        <f t="shared" si="0"/>
        <v/>
      </c>
      <c r="D36" s="15"/>
      <c r="E36" s="6" t="str">
        <f t="shared" si="1"/>
        <v/>
      </c>
      <c r="F36" s="16"/>
      <c r="G36" s="17"/>
    </row>
    <row r="37" spans="1:7" x14ac:dyDescent="0.25">
      <c r="A37" s="3">
        <v>35</v>
      </c>
      <c r="B37" s="13"/>
      <c r="C37" s="14" t="str">
        <f t="shared" si="0"/>
        <v/>
      </c>
      <c r="D37" s="15"/>
      <c r="E37" s="6" t="str">
        <f t="shared" si="1"/>
        <v/>
      </c>
      <c r="F37" s="16"/>
      <c r="G37" s="17"/>
    </row>
    <row r="38" spans="1:7" x14ac:dyDescent="0.25">
      <c r="A38" s="3">
        <v>36</v>
      </c>
      <c r="B38" s="13"/>
      <c r="C38" s="14" t="str">
        <f t="shared" si="0"/>
        <v/>
      </c>
      <c r="D38" s="15"/>
      <c r="E38" s="6" t="str">
        <f t="shared" si="1"/>
        <v/>
      </c>
      <c r="F38" s="16"/>
      <c r="G38" s="17"/>
    </row>
    <row r="39" spans="1:7" x14ac:dyDescent="0.25">
      <c r="A39" s="3">
        <v>37</v>
      </c>
      <c r="B39" s="13"/>
      <c r="C39" s="14" t="str">
        <f t="shared" si="0"/>
        <v/>
      </c>
      <c r="D39" s="15"/>
      <c r="E39" s="6" t="str">
        <f t="shared" si="1"/>
        <v/>
      </c>
      <c r="F39" s="16"/>
      <c r="G39" s="17"/>
    </row>
    <row r="40" spans="1:7" x14ac:dyDescent="0.25">
      <c r="A40" s="3">
        <v>38</v>
      </c>
      <c r="B40" s="13"/>
      <c r="C40" s="14" t="str">
        <f t="shared" si="0"/>
        <v/>
      </c>
      <c r="D40" s="15"/>
      <c r="E40" s="6" t="str">
        <f t="shared" si="1"/>
        <v/>
      </c>
      <c r="F40" s="16"/>
      <c r="G40" s="17"/>
    </row>
    <row r="41" spans="1:7" x14ac:dyDescent="0.25">
      <c r="A41" s="3">
        <v>39</v>
      </c>
      <c r="B41" s="13"/>
      <c r="C41" s="14" t="str">
        <f t="shared" si="0"/>
        <v/>
      </c>
      <c r="D41" s="15"/>
      <c r="E41" s="6" t="str">
        <f t="shared" si="1"/>
        <v/>
      </c>
      <c r="F41" s="16"/>
      <c r="G41" s="17"/>
    </row>
    <row r="42" spans="1:7" x14ac:dyDescent="0.25">
      <c r="A42" s="3">
        <v>40</v>
      </c>
      <c r="B42" s="13"/>
      <c r="C42" s="14" t="str">
        <f t="shared" si="0"/>
        <v/>
      </c>
      <c r="D42" s="15"/>
      <c r="E42" s="6" t="str">
        <f t="shared" si="1"/>
        <v/>
      </c>
      <c r="F42" s="16"/>
      <c r="G42" s="17"/>
    </row>
    <row r="43" spans="1:7" x14ac:dyDescent="0.25">
      <c r="A43" s="3">
        <v>41</v>
      </c>
      <c r="B43" s="13"/>
      <c r="C43" s="14" t="str">
        <f t="shared" si="0"/>
        <v/>
      </c>
      <c r="D43" s="15"/>
      <c r="E43" s="6" t="str">
        <f t="shared" si="1"/>
        <v/>
      </c>
      <c r="F43" s="16"/>
      <c r="G43" s="17"/>
    </row>
    <row r="44" spans="1:7" x14ac:dyDescent="0.25">
      <c r="A44" s="3">
        <v>42</v>
      </c>
      <c r="B44" s="13"/>
      <c r="C44" s="14" t="str">
        <f t="shared" si="0"/>
        <v/>
      </c>
      <c r="D44" s="15"/>
      <c r="E44" s="6" t="str">
        <f t="shared" si="1"/>
        <v/>
      </c>
      <c r="F44" s="16"/>
      <c r="G44" s="17"/>
    </row>
    <row r="45" spans="1:7" x14ac:dyDescent="0.25">
      <c r="A45" s="3">
        <v>43</v>
      </c>
      <c r="B45" s="13"/>
      <c r="C45" s="14" t="str">
        <f t="shared" si="0"/>
        <v/>
      </c>
      <c r="D45" s="15"/>
      <c r="E45" s="6" t="str">
        <f t="shared" si="1"/>
        <v/>
      </c>
      <c r="F45" s="16"/>
      <c r="G45" s="17"/>
    </row>
    <row r="46" spans="1:7" x14ac:dyDescent="0.25">
      <c r="A46" s="3">
        <v>44</v>
      </c>
      <c r="B46" s="13"/>
      <c r="C46" s="14" t="str">
        <f t="shared" si="0"/>
        <v/>
      </c>
      <c r="D46" s="15"/>
      <c r="E46" s="6" t="str">
        <f t="shared" si="1"/>
        <v/>
      </c>
      <c r="F46" s="16"/>
      <c r="G46" s="17"/>
    </row>
    <row r="47" spans="1:7" x14ac:dyDescent="0.25">
      <c r="A47" s="3">
        <v>45</v>
      </c>
      <c r="B47" s="13"/>
      <c r="C47" s="14" t="str">
        <f t="shared" si="0"/>
        <v/>
      </c>
      <c r="D47" s="15"/>
      <c r="E47" s="6" t="str">
        <f t="shared" si="1"/>
        <v/>
      </c>
      <c r="F47" s="16"/>
      <c r="G47" s="17"/>
    </row>
    <row r="48" spans="1:7" x14ac:dyDescent="0.25">
      <c r="A48" s="3">
        <v>46</v>
      </c>
      <c r="B48" s="13"/>
      <c r="C48" s="14" t="str">
        <f t="shared" si="0"/>
        <v/>
      </c>
      <c r="D48" s="15"/>
      <c r="E48" s="6" t="str">
        <f t="shared" si="1"/>
        <v/>
      </c>
      <c r="F48" s="16"/>
      <c r="G48" s="17"/>
    </row>
    <row r="49" spans="1:7" x14ac:dyDescent="0.25">
      <c r="A49" s="3">
        <v>47</v>
      </c>
      <c r="B49" s="13"/>
      <c r="C49" s="14" t="str">
        <f t="shared" si="0"/>
        <v/>
      </c>
      <c r="D49" s="15"/>
      <c r="E49" s="6" t="str">
        <f t="shared" si="1"/>
        <v/>
      </c>
      <c r="F49" s="16"/>
      <c r="G49" s="17"/>
    </row>
    <row r="50" spans="1:7" x14ac:dyDescent="0.25">
      <c r="A50" s="3">
        <v>48</v>
      </c>
      <c r="B50" s="13"/>
      <c r="C50" s="14" t="str">
        <f t="shared" si="0"/>
        <v/>
      </c>
      <c r="D50" s="15"/>
      <c r="E50" s="6" t="str">
        <f t="shared" si="1"/>
        <v/>
      </c>
      <c r="F50" s="16"/>
      <c r="G50" s="17"/>
    </row>
    <row r="51" spans="1:7" x14ac:dyDescent="0.25">
      <c r="A51" s="3">
        <v>49</v>
      </c>
      <c r="B51" s="13"/>
      <c r="C51" s="14" t="str">
        <f t="shared" si="0"/>
        <v/>
      </c>
      <c r="D51" s="15"/>
      <c r="E51" s="6" t="str">
        <f t="shared" si="1"/>
        <v/>
      </c>
      <c r="F51" s="16"/>
      <c r="G51" s="17"/>
    </row>
    <row r="52" spans="1:7" x14ac:dyDescent="0.25">
      <c r="A52" s="3">
        <v>50</v>
      </c>
      <c r="B52" s="13"/>
      <c r="C52" s="14" t="str">
        <f t="shared" si="0"/>
        <v/>
      </c>
      <c r="D52" s="15"/>
      <c r="E52" s="6" t="str">
        <f t="shared" si="1"/>
        <v/>
      </c>
      <c r="F52" s="16"/>
      <c r="G52" s="17"/>
    </row>
    <row r="53" spans="1:7" x14ac:dyDescent="0.25">
      <c r="A53" s="3">
        <v>51</v>
      </c>
      <c r="B53" s="13"/>
      <c r="C53" s="14" t="str">
        <f t="shared" si="0"/>
        <v/>
      </c>
      <c r="D53" s="15"/>
      <c r="E53" s="6" t="str">
        <f t="shared" si="1"/>
        <v/>
      </c>
      <c r="F53" s="16"/>
      <c r="G53" s="17"/>
    </row>
    <row r="54" spans="1:7" x14ac:dyDescent="0.25">
      <c r="A54" s="3">
        <v>52</v>
      </c>
      <c r="B54" s="13"/>
      <c r="C54" s="14" t="str">
        <f t="shared" si="0"/>
        <v/>
      </c>
      <c r="D54" s="15"/>
      <c r="E54" s="6" t="str">
        <f t="shared" si="1"/>
        <v/>
      </c>
      <c r="F54" s="16"/>
      <c r="G54" s="17"/>
    </row>
    <row r="55" spans="1:7" x14ac:dyDescent="0.25">
      <c r="A55" s="3">
        <v>53</v>
      </c>
      <c r="B55" s="13"/>
      <c r="C55" s="14" t="str">
        <f t="shared" si="0"/>
        <v/>
      </c>
      <c r="D55" s="15"/>
      <c r="E55" s="6" t="str">
        <f t="shared" si="1"/>
        <v/>
      </c>
      <c r="F55" s="16"/>
      <c r="G55" s="17"/>
    </row>
    <row r="56" spans="1:7" x14ac:dyDescent="0.25">
      <c r="A56" s="3">
        <v>54</v>
      </c>
      <c r="B56" s="13"/>
      <c r="C56" s="14" t="str">
        <f t="shared" si="0"/>
        <v/>
      </c>
      <c r="D56" s="15"/>
      <c r="E56" s="6" t="str">
        <f t="shared" si="1"/>
        <v/>
      </c>
      <c r="F56" s="16"/>
      <c r="G56" s="17"/>
    </row>
    <row r="57" spans="1:7" x14ac:dyDescent="0.25">
      <c r="A57" s="3">
        <v>55</v>
      </c>
      <c r="B57" s="13"/>
      <c r="C57" s="14" t="str">
        <f t="shared" si="0"/>
        <v/>
      </c>
      <c r="D57" s="15"/>
      <c r="E57" s="6" t="str">
        <f t="shared" si="1"/>
        <v/>
      </c>
      <c r="F57" s="16"/>
      <c r="G57" s="17"/>
    </row>
    <row r="58" spans="1:7" x14ac:dyDescent="0.25">
      <c r="A58" s="3">
        <v>56</v>
      </c>
      <c r="B58" s="13"/>
      <c r="C58" s="14" t="str">
        <f t="shared" si="0"/>
        <v/>
      </c>
      <c r="D58" s="15"/>
      <c r="E58" s="6" t="str">
        <f t="shared" si="1"/>
        <v/>
      </c>
      <c r="F58" s="16"/>
      <c r="G58" s="17"/>
    </row>
    <row r="59" spans="1:7" x14ac:dyDescent="0.25">
      <c r="A59" s="3">
        <v>57</v>
      </c>
      <c r="B59" s="13"/>
      <c r="C59" s="14" t="str">
        <f t="shared" si="0"/>
        <v/>
      </c>
      <c r="D59" s="15"/>
      <c r="E59" s="6" t="str">
        <f t="shared" si="1"/>
        <v/>
      </c>
      <c r="F59" s="16"/>
      <c r="G59" s="17"/>
    </row>
    <row r="60" spans="1:7" x14ac:dyDescent="0.25">
      <c r="A60" s="3">
        <v>58</v>
      </c>
      <c r="B60" s="13"/>
      <c r="C60" s="14" t="str">
        <f t="shared" si="0"/>
        <v/>
      </c>
      <c r="D60" s="15"/>
      <c r="E60" s="6" t="str">
        <f t="shared" si="1"/>
        <v/>
      </c>
      <c r="F60" s="16"/>
      <c r="G60" s="17"/>
    </row>
    <row r="61" spans="1:7" x14ac:dyDescent="0.25">
      <c r="A61" s="3">
        <v>59</v>
      </c>
      <c r="B61" s="13"/>
      <c r="C61" s="14" t="str">
        <f t="shared" si="0"/>
        <v/>
      </c>
      <c r="D61" s="15"/>
      <c r="E61" s="6" t="str">
        <f t="shared" si="1"/>
        <v/>
      </c>
      <c r="F61" s="16"/>
      <c r="G61" s="17"/>
    </row>
    <row r="62" spans="1:7" x14ac:dyDescent="0.25">
      <c r="A62" s="3">
        <v>60</v>
      </c>
      <c r="B62" s="13"/>
      <c r="C62" s="14" t="str">
        <f t="shared" si="0"/>
        <v/>
      </c>
      <c r="D62" s="15"/>
      <c r="E62" s="6" t="str">
        <f t="shared" si="1"/>
        <v/>
      </c>
      <c r="F62" s="16"/>
      <c r="G62" s="17"/>
    </row>
    <row r="63" spans="1:7" x14ac:dyDescent="0.25">
      <c r="A63" s="3">
        <v>61</v>
      </c>
      <c r="B63" s="13"/>
      <c r="C63" s="14" t="str">
        <f t="shared" si="0"/>
        <v/>
      </c>
      <c r="D63" s="15"/>
      <c r="E63" s="6" t="str">
        <f t="shared" si="1"/>
        <v/>
      </c>
      <c r="F63" s="16"/>
      <c r="G63" s="17"/>
    </row>
    <row r="64" spans="1:7" x14ac:dyDescent="0.25">
      <c r="A64" s="3">
        <v>62</v>
      </c>
      <c r="B64" s="13"/>
      <c r="C64" s="14" t="str">
        <f t="shared" si="0"/>
        <v/>
      </c>
      <c r="D64" s="15"/>
      <c r="E64" s="6" t="str">
        <f t="shared" si="1"/>
        <v/>
      </c>
      <c r="F64" s="16"/>
      <c r="G64" s="17"/>
    </row>
    <row r="65" spans="1:7" x14ac:dyDescent="0.25">
      <c r="A65" s="3">
        <v>63</v>
      </c>
      <c r="B65" s="13"/>
      <c r="C65" s="14" t="str">
        <f t="shared" si="0"/>
        <v/>
      </c>
      <c r="D65" s="15"/>
      <c r="E65" s="6" t="str">
        <f t="shared" si="1"/>
        <v/>
      </c>
      <c r="F65" s="16"/>
      <c r="G65" s="17"/>
    </row>
    <row r="66" spans="1:7" x14ac:dyDescent="0.25">
      <c r="A66" s="3">
        <v>64</v>
      </c>
      <c r="B66" s="13"/>
      <c r="C66" s="14" t="str">
        <f t="shared" si="0"/>
        <v/>
      </c>
      <c r="D66" s="15"/>
      <c r="E66" s="6" t="str">
        <f t="shared" si="1"/>
        <v/>
      </c>
      <c r="F66" s="16"/>
      <c r="G66" s="17"/>
    </row>
    <row r="67" spans="1:7" x14ac:dyDescent="0.25">
      <c r="A67" s="3">
        <v>65</v>
      </c>
      <c r="B67" s="13"/>
      <c r="C67" s="14" t="str">
        <f t="shared" si="0"/>
        <v/>
      </c>
      <c r="D67" s="15"/>
      <c r="E67" s="6" t="str">
        <f t="shared" si="1"/>
        <v/>
      </c>
      <c r="F67" s="16"/>
      <c r="G67" s="17"/>
    </row>
    <row r="68" spans="1:7" x14ac:dyDescent="0.25">
      <c r="A68" s="3">
        <v>66</v>
      </c>
      <c r="B68" s="13"/>
      <c r="C68" s="14" t="str">
        <f t="shared" si="0"/>
        <v/>
      </c>
      <c r="D68" s="15"/>
      <c r="E68" s="6" t="str">
        <f t="shared" si="1"/>
        <v/>
      </c>
      <c r="F68" s="16"/>
      <c r="G68" s="17"/>
    </row>
    <row r="69" spans="1:7" x14ac:dyDescent="0.25">
      <c r="A69" s="3">
        <v>67</v>
      </c>
      <c r="B69" s="13"/>
      <c r="C69" s="14" t="str">
        <f t="shared" ref="C69:C75" si="2">IF(B69="","","Adam Pemberton")</f>
        <v/>
      </c>
      <c r="D69" s="15"/>
      <c r="E69" s="6" t="str">
        <f t="shared" ref="E69:E75" si="3">IF(B69="","","Bad")</f>
        <v/>
      </c>
      <c r="F69" s="16"/>
      <c r="G69" s="17"/>
    </row>
    <row r="70" spans="1:7" x14ac:dyDescent="0.25">
      <c r="A70" s="3">
        <v>68</v>
      </c>
      <c r="B70" s="13"/>
      <c r="C70" s="14" t="str">
        <f t="shared" si="2"/>
        <v/>
      </c>
      <c r="D70" s="15"/>
      <c r="E70" s="6" t="str">
        <f t="shared" si="3"/>
        <v/>
      </c>
      <c r="F70" s="16"/>
      <c r="G70" s="17"/>
    </row>
    <row r="71" spans="1:7" x14ac:dyDescent="0.25">
      <c r="A71" s="3">
        <v>69</v>
      </c>
      <c r="B71" s="13"/>
      <c r="C71" s="14" t="str">
        <f t="shared" si="2"/>
        <v/>
      </c>
      <c r="D71" s="15"/>
      <c r="E71" s="6" t="str">
        <f t="shared" si="3"/>
        <v/>
      </c>
      <c r="F71" s="16"/>
      <c r="G71" s="17"/>
    </row>
    <row r="72" spans="1:7" x14ac:dyDescent="0.25">
      <c r="A72" s="3">
        <v>70</v>
      </c>
      <c r="B72" s="13"/>
      <c r="C72" s="14" t="str">
        <f t="shared" si="2"/>
        <v/>
      </c>
      <c r="D72" s="15"/>
      <c r="E72" s="6" t="str">
        <f t="shared" si="3"/>
        <v/>
      </c>
      <c r="F72" s="16"/>
      <c r="G72" s="17"/>
    </row>
    <row r="73" spans="1:7" x14ac:dyDescent="0.25">
      <c r="A73" s="3">
        <v>71</v>
      </c>
      <c r="B73" s="13"/>
      <c r="C73" s="14" t="str">
        <f t="shared" si="2"/>
        <v/>
      </c>
      <c r="D73" s="15"/>
      <c r="E73" s="6" t="str">
        <f t="shared" si="3"/>
        <v/>
      </c>
      <c r="F73" s="16"/>
      <c r="G73" s="17"/>
    </row>
    <row r="74" spans="1:7" x14ac:dyDescent="0.25">
      <c r="A74" s="3">
        <v>72</v>
      </c>
      <c r="B74" s="13"/>
      <c r="C74" s="14" t="str">
        <f t="shared" si="2"/>
        <v/>
      </c>
      <c r="D74" s="15"/>
      <c r="E74" s="6" t="str">
        <f t="shared" si="3"/>
        <v/>
      </c>
      <c r="F74" s="16"/>
      <c r="G74" s="17"/>
    </row>
    <row r="75" spans="1:7" x14ac:dyDescent="0.25">
      <c r="A75" s="3">
        <v>73</v>
      </c>
      <c r="B75" s="13"/>
      <c r="C75" s="14" t="str">
        <f t="shared" si="2"/>
        <v/>
      </c>
      <c r="D75" s="15"/>
      <c r="E75" s="6" t="str">
        <f t="shared" si="3"/>
        <v/>
      </c>
      <c r="F75" s="16"/>
      <c r="G75" s="17"/>
    </row>
  </sheetData>
  <conditionalFormatting sqref="B3:G75">
    <cfRule type="expression" dxfId="0" priority="1">
      <formula>$E3="Fixed"</formula>
    </cfRule>
  </conditionalFormatting>
  <dataValidations count="2">
    <dataValidation type="list" allowBlank="1" showInputMessage="1" showErrorMessage="1" sqref="E3">
      <formula1>"Moderate,Bad,Fixed"</formula1>
    </dataValidation>
    <dataValidation type="list" allowBlank="1" showInputMessage="1" sqref="E4:E75">
      <formula1>"Moderate,Bad,Fixed"</formula1>
    </dataValidation>
  </dataValidation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25"/>
  <sheetViews>
    <sheetView workbookViewId="0">
      <pane ySplit="1" topLeftCell="A2" activePane="bottomLeft" state="frozen"/>
      <selection pane="bottomLeft" activeCell="B8" sqref="B8"/>
    </sheetView>
  </sheetViews>
  <sheetFormatPr defaultRowHeight="15" x14ac:dyDescent="0.25"/>
  <cols>
    <col min="1" max="1" width="9.140625" style="4"/>
    <col min="2" max="2" width="94" style="4" customWidth="1"/>
    <col min="3" max="16384" width="9.140625" style="4"/>
  </cols>
  <sheetData>
    <row r="1" spans="1:3" x14ac:dyDescent="0.25">
      <c r="A1" s="7" t="s">
        <v>25</v>
      </c>
      <c r="B1" s="50" t="s">
        <v>26</v>
      </c>
      <c r="C1" s="7" t="s">
        <v>32</v>
      </c>
    </row>
    <row r="2" spans="1:3" x14ac:dyDescent="0.25">
      <c r="A2" s="6">
        <v>1</v>
      </c>
      <c r="B2" s="51" t="s">
        <v>24</v>
      </c>
      <c r="C2" s="6"/>
    </row>
    <row r="3" spans="1:3" x14ac:dyDescent="0.25">
      <c r="A3" s="5">
        <v>2</v>
      </c>
      <c r="B3" s="52" t="s">
        <v>101</v>
      </c>
      <c r="C3" s="6"/>
    </row>
    <row r="4" spans="1:3" x14ac:dyDescent="0.25">
      <c r="A4" s="6">
        <v>3</v>
      </c>
      <c r="B4" s="51" t="s">
        <v>102</v>
      </c>
      <c r="C4" s="6"/>
    </row>
    <row r="5" spans="1:3" x14ac:dyDescent="0.25">
      <c r="A5" s="5">
        <v>4</v>
      </c>
      <c r="B5" s="51" t="s">
        <v>103</v>
      </c>
      <c r="C5" s="6"/>
    </row>
    <row r="6" spans="1:3" x14ac:dyDescent="0.25">
      <c r="A6" s="6">
        <v>5</v>
      </c>
      <c r="B6" s="51" t="s">
        <v>105</v>
      </c>
      <c r="C6" s="6"/>
    </row>
    <row r="7" spans="1:3" x14ac:dyDescent="0.25">
      <c r="A7" s="5">
        <v>6</v>
      </c>
      <c r="B7" s="51" t="s">
        <v>110</v>
      </c>
      <c r="C7" s="6"/>
    </row>
    <row r="8" spans="1:3" x14ac:dyDescent="0.25">
      <c r="A8" s="6">
        <v>7</v>
      </c>
      <c r="B8" s="51" t="s">
        <v>111</v>
      </c>
      <c r="C8" s="6"/>
    </row>
    <row r="9" spans="1:3" x14ac:dyDescent="0.25">
      <c r="A9" s="5">
        <v>8</v>
      </c>
      <c r="B9" s="51"/>
      <c r="C9" s="6"/>
    </row>
    <row r="10" spans="1:3" x14ac:dyDescent="0.25">
      <c r="A10" s="6">
        <v>9</v>
      </c>
      <c r="B10" s="51"/>
      <c r="C10" s="6"/>
    </row>
    <row r="11" spans="1:3" x14ac:dyDescent="0.25">
      <c r="A11" s="5">
        <v>10</v>
      </c>
      <c r="B11" s="51"/>
      <c r="C11" s="6"/>
    </row>
    <row r="12" spans="1:3" x14ac:dyDescent="0.25">
      <c r="A12" s="6">
        <v>11</v>
      </c>
      <c r="B12" s="51"/>
      <c r="C12" s="6"/>
    </row>
    <row r="13" spans="1:3" x14ac:dyDescent="0.25">
      <c r="A13" s="5">
        <v>12</v>
      </c>
      <c r="B13" s="51"/>
      <c r="C13" s="6"/>
    </row>
    <row r="14" spans="1:3" x14ac:dyDescent="0.25">
      <c r="A14" s="6">
        <v>13</v>
      </c>
      <c r="B14" s="51"/>
      <c r="C14" s="6"/>
    </row>
    <row r="15" spans="1:3" x14ac:dyDescent="0.25">
      <c r="A15" s="5">
        <v>14</v>
      </c>
      <c r="B15" s="51"/>
      <c r="C15" s="6"/>
    </row>
    <row r="16" spans="1:3" x14ac:dyDescent="0.25">
      <c r="A16" s="6">
        <v>15</v>
      </c>
      <c r="B16" s="51"/>
      <c r="C16" s="6"/>
    </row>
    <row r="17" spans="1:3" x14ac:dyDescent="0.25">
      <c r="A17" s="5">
        <v>16</v>
      </c>
      <c r="B17" s="51"/>
      <c r="C17" s="6"/>
    </row>
    <row r="18" spans="1:3" x14ac:dyDescent="0.25">
      <c r="A18" s="6"/>
      <c r="B18" s="51"/>
      <c r="C18" s="6"/>
    </row>
    <row r="19" spans="1:3" x14ac:dyDescent="0.25">
      <c r="A19" s="6"/>
      <c r="B19" s="51"/>
      <c r="C19" s="6"/>
    </row>
    <row r="20" spans="1:3" x14ac:dyDescent="0.25">
      <c r="A20" s="6"/>
      <c r="B20" s="51"/>
      <c r="C20" s="6"/>
    </row>
    <row r="21" spans="1:3" x14ac:dyDescent="0.25">
      <c r="A21" s="6"/>
      <c r="B21" s="51"/>
      <c r="C21" s="6"/>
    </row>
    <row r="22" spans="1:3" x14ac:dyDescent="0.25">
      <c r="A22" s="6"/>
      <c r="B22" s="51"/>
      <c r="C22" s="6"/>
    </row>
    <row r="23" spans="1:3" x14ac:dyDescent="0.25">
      <c r="A23" s="6"/>
      <c r="B23" s="51"/>
      <c r="C23" s="6"/>
    </row>
    <row r="24" spans="1:3" x14ac:dyDescent="0.25">
      <c r="A24" s="6"/>
      <c r="B24" s="6"/>
    </row>
    <row r="25" spans="1:3" x14ac:dyDescent="0.25">
      <c r="A25" s="6"/>
      <c r="B25" s="6"/>
    </row>
  </sheetData>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FreeCanvas"/>
  <dimension ref="A1:F267"/>
  <sheetViews>
    <sheetView workbookViewId="0">
      <selection activeCell="B12" sqref="A1:E158"/>
    </sheetView>
  </sheetViews>
  <sheetFormatPr defaultRowHeight="15" x14ac:dyDescent="0.25"/>
  <cols>
    <col min="1" max="1" width="8.42578125" bestFit="1" customWidth="1"/>
    <col min="2" max="2" width="44.5703125" bestFit="1" customWidth="1"/>
    <col min="3" max="3" width="6.28515625" bestFit="1" customWidth="1"/>
  </cols>
  <sheetData>
    <row r="1" spans="1:6" x14ac:dyDescent="0.25">
      <c r="A1" s="1" t="s">
        <v>505</v>
      </c>
      <c r="B1" s="1" t="s">
        <v>506</v>
      </c>
      <c r="C1" s="1" t="s">
        <v>8</v>
      </c>
      <c r="D1" s="1" t="s">
        <v>507</v>
      </c>
      <c r="E1" s="1" t="s">
        <v>508</v>
      </c>
      <c r="F1" s="1" t="s">
        <v>509</v>
      </c>
    </row>
    <row r="2" spans="1:6" x14ac:dyDescent="0.25">
      <c r="A2">
        <v>4500596751</v>
      </c>
      <c r="B2">
        <v>10</v>
      </c>
      <c r="C2" t="s">
        <v>760</v>
      </c>
      <c r="D2" s="64">
        <v>42659</v>
      </c>
      <c r="E2">
        <v>49</v>
      </c>
      <c r="F2">
        <v>49</v>
      </c>
    </row>
    <row r="3" spans="1:6" x14ac:dyDescent="0.25">
      <c r="A3">
        <v>4500596750</v>
      </c>
      <c r="B3">
        <v>10</v>
      </c>
      <c r="C3" t="s">
        <v>761</v>
      </c>
      <c r="D3" s="64">
        <v>42659</v>
      </c>
      <c r="E3">
        <v>48</v>
      </c>
      <c r="F3">
        <v>48</v>
      </c>
    </row>
    <row r="4" spans="1:6" x14ac:dyDescent="0.25">
      <c r="A4">
        <v>4500596749</v>
      </c>
      <c r="B4">
        <v>10</v>
      </c>
      <c r="C4" t="s">
        <v>762</v>
      </c>
      <c r="D4" s="64">
        <v>42659</v>
      </c>
      <c r="E4">
        <v>36</v>
      </c>
      <c r="F4">
        <v>36</v>
      </c>
    </row>
    <row r="5" spans="1:6" x14ac:dyDescent="0.25">
      <c r="A5">
        <v>4500596748</v>
      </c>
      <c r="B5">
        <v>10</v>
      </c>
      <c r="C5" t="s">
        <v>763</v>
      </c>
      <c r="D5" s="64">
        <v>42659</v>
      </c>
      <c r="E5">
        <v>29</v>
      </c>
      <c r="F5">
        <v>29</v>
      </c>
    </row>
    <row r="6" spans="1:6" x14ac:dyDescent="0.25">
      <c r="A6">
        <v>4500595650</v>
      </c>
      <c r="B6">
        <v>10</v>
      </c>
      <c r="C6" t="s">
        <v>510</v>
      </c>
      <c r="D6" s="64">
        <v>42655</v>
      </c>
      <c r="E6">
        <v>5</v>
      </c>
      <c r="F6">
        <v>5</v>
      </c>
    </row>
    <row r="7" spans="1:6" x14ac:dyDescent="0.25">
      <c r="A7">
        <v>4500594861</v>
      </c>
      <c r="B7">
        <v>10</v>
      </c>
      <c r="C7" t="s">
        <v>511</v>
      </c>
      <c r="D7" s="64">
        <v>42653</v>
      </c>
      <c r="E7">
        <v>195</v>
      </c>
      <c r="F7">
        <v>195</v>
      </c>
    </row>
    <row r="8" spans="1:6" x14ac:dyDescent="0.25">
      <c r="A8">
        <v>4500594860</v>
      </c>
      <c r="B8">
        <v>10</v>
      </c>
      <c r="C8" t="s">
        <v>512</v>
      </c>
      <c r="D8" s="64">
        <v>42653</v>
      </c>
      <c r="E8">
        <v>12</v>
      </c>
      <c r="F8">
        <v>12</v>
      </c>
    </row>
    <row r="9" spans="1:6" x14ac:dyDescent="0.25">
      <c r="A9">
        <v>4500594856</v>
      </c>
      <c r="B9">
        <v>10</v>
      </c>
      <c r="C9" t="s">
        <v>513</v>
      </c>
      <c r="D9" s="64">
        <v>42653</v>
      </c>
      <c r="E9">
        <v>15</v>
      </c>
      <c r="F9">
        <v>15</v>
      </c>
    </row>
    <row r="10" spans="1:6" x14ac:dyDescent="0.25">
      <c r="A10">
        <v>4500594855</v>
      </c>
      <c r="B10">
        <v>10</v>
      </c>
      <c r="C10" t="s">
        <v>514</v>
      </c>
      <c r="D10" s="64">
        <v>42653</v>
      </c>
      <c r="E10">
        <v>7</v>
      </c>
      <c r="F10">
        <v>7</v>
      </c>
    </row>
    <row r="11" spans="1:6" x14ac:dyDescent="0.25">
      <c r="A11">
        <v>4500594853</v>
      </c>
      <c r="B11">
        <v>10</v>
      </c>
      <c r="C11" t="s">
        <v>515</v>
      </c>
      <c r="D11" s="64">
        <v>42653</v>
      </c>
      <c r="E11">
        <v>8</v>
      </c>
      <c r="F11">
        <v>8</v>
      </c>
    </row>
    <row r="12" spans="1:6" x14ac:dyDescent="0.25">
      <c r="A12">
        <v>4500594849</v>
      </c>
      <c r="B12">
        <v>10</v>
      </c>
      <c r="C12" t="s">
        <v>516</v>
      </c>
      <c r="D12" s="64">
        <v>42653</v>
      </c>
      <c r="E12">
        <v>499</v>
      </c>
      <c r="F12">
        <v>499</v>
      </c>
    </row>
    <row r="13" spans="1:6" x14ac:dyDescent="0.25">
      <c r="A13">
        <v>4500594842</v>
      </c>
      <c r="B13">
        <v>10</v>
      </c>
      <c r="C13" t="s">
        <v>517</v>
      </c>
      <c r="D13" s="64">
        <v>42653</v>
      </c>
      <c r="E13">
        <v>12</v>
      </c>
      <c r="F13">
        <v>12</v>
      </c>
    </row>
    <row r="14" spans="1:6" x14ac:dyDescent="0.25">
      <c r="A14">
        <v>4500594311</v>
      </c>
      <c r="B14">
        <v>10</v>
      </c>
      <c r="C14" t="s">
        <v>518</v>
      </c>
      <c r="D14" s="64">
        <v>42652</v>
      </c>
      <c r="E14">
        <v>11</v>
      </c>
      <c r="F14">
        <v>11</v>
      </c>
    </row>
    <row r="15" spans="1:6" x14ac:dyDescent="0.25">
      <c r="A15">
        <v>4500593626</v>
      </c>
      <c r="B15">
        <v>10</v>
      </c>
      <c r="C15" t="s">
        <v>519</v>
      </c>
      <c r="D15" s="64">
        <v>42649</v>
      </c>
      <c r="E15">
        <v>9</v>
      </c>
      <c r="F15">
        <v>9</v>
      </c>
    </row>
    <row r="16" spans="1:6" x14ac:dyDescent="0.25">
      <c r="A16">
        <v>4500593148</v>
      </c>
      <c r="B16">
        <v>10</v>
      </c>
      <c r="C16" t="s">
        <v>520</v>
      </c>
      <c r="D16" s="64">
        <v>42648</v>
      </c>
      <c r="E16">
        <v>12</v>
      </c>
      <c r="F16">
        <v>12</v>
      </c>
    </row>
    <row r="17" spans="1:6" x14ac:dyDescent="0.25">
      <c r="A17">
        <v>4500591933</v>
      </c>
      <c r="B17">
        <v>10</v>
      </c>
      <c r="C17" t="s">
        <v>521</v>
      </c>
      <c r="D17" s="64">
        <v>42645</v>
      </c>
      <c r="E17">
        <v>77</v>
      </c>
      <c r="F17">
        <v>77</v>
      </c>
    </row>
    <row r="18" spans="1:6" x14ac:dyDescent="0.25">
      <c r="A18">
        <v>4500591887</v>
      </c>
      <c r="B18">
        <v>10</v>
      </c>
      <c r="C18" t="s">
        <v>522</v>
      </c>
      <c r="D18" s="64">
        <v>42645</v>
      </c>
      <c r="E18">
        <v>23</v>
      </c>
      <c r="F18">
        <v>23</v>
      </c>
    </row>
    <row r="19" spans="1:6" x14ac:dyDescent="0.25">
      <c r="A19">
        <v>4500591886</v>
      </c>
      <c r="B19">
        <v>10</v>
      </c>
      <c r="C19" t="s">
        <v>523</v>
      </c>
      <c r="D19" s="64">
        <v>42645</v>
      </c>
      <c r="E19">
        <v>98</v>
      </c>
      <c r="F19">
        <v>98</v>
      </c>
    </row>
    <row r="20" spans="1:6" x14ac:dyDescent="0.25">
      <c r="A20">
        <v>4500591872</v>
      </c>
      <c r="B20">
        <v>10</v>
      </c>
      <c r="C20" t="s">
        <v>524</v>
      </c>
      <c r="D20" s="64">
        <v>42645</v>
      </c>
      <c r="E20">
        <v>6</v>
      </c>
      <c r="F20">
        <v>6</v>
      </c>
    </row>
    <row r="21" spans="1:6" x14ac:dyDescent="0.25">
      <c r="A21">
        <v>4500591863</v>
      </c>
      <c r="B21">
        <v>10</v>
      </c>
      <c r="C21" t="s">
        <v>525</v>
      </c>
      <c r="D21" s="64">
        <v>42645</v>
      </c>
      <c r="E21">
        <v>7</v>
      </c>
      <c r="F21">
        <v>7</v>
      </c>
    </row>
    <row r="22" spans="1:6" x14ac:dyDescent="0.25">
      <c r="A22">
        <v>4500591733</v>
      </c>
      <c r="B22">
        <v>10</v>
      </c>
      <c r="C22" t="s">
        <v>526</v>
      </c>
      <c r="D22" s="64">
        <v>42644</v>
      </c>
      <c r="E22">
        <v>49</v>
      </c>
      <c r="F22">
        <v>49</v>
      </c>
    </row>
    <row r="23" spans="1:6" x14ac:dyDescent="0.25">
      <c r="A23">
        <v>4500591386</v>
      </c>
      <c r="B23">
        <v>10</v>
      </c>
      <c r="C23" t="s">
        <v>527</v>
      </c>
      <c r="D23" s="64">
        <v>42642</v>
      </c>
      <c r="E23">
        <v>49</v>
      </c>
      <c r="F23">
        <v>49</v>
      </c>
    </row>
    <row r="24" spans="1:6" x14ac:dyDescent="0.25">
      <c r="A24">
        <v>4500591137</v>
      </c>
      <c r="B24">
        <v>10</v>
      </c>
      <c r="C24" t="s">
        <v>528</v>
      </c>
      <c r="D24" s="64">
        <v>42642</v>
      </c>
      <c r="E24">
        <v>35</v>
      </c>
      <c r="F24">
        <v>35</v>
      </c>
    </row>
    <row r="25" spans="1:6" x14ac:dyDescent="0.25">
      <c r="A25">
        <v>4500591085</v>
      </c>
      <c r="B25">
        <v>10</v>
      </c>
      <c r="C25" t="s">
        <v>529</v>
      </c>
      <c r="D25" s="64">
        <v>42642</v>
      </c>
      <c r="E25">
        <v>29</v>
      </c>
      <c r="F25">
        <v>29</v>
      </c>
    </row>
    <row r="26" spans="1:6" x14ac:dyDescent="0.25">
      <c r="A26">
        <v>4500591082</v>
      </c>
      <c r="B26">
        <v>10</v>
      </c>
      <c r="C26" t="s">
        <v>530</v>
      </c>
      <c r="D26" s="64">
        <v>42642</v>
      </c>
      <c r="E26">
        <v>2</v>
      </c>
      <c r="F26">
        <v>2</v>
      </c>
    </row>
    <row r="27" spans="1:6" x14ac:dyDescent="0.25">
      <c r="A27">
        <v>4500590766</v>
      </c>
      <c r="B27">
        <v>10</v>
      </c>
      <c r="C27" t="s">
        <v>531</v>
      </c>
      <c r="D27" s="64">
        <v>42641</v>
      </c>
      <c r="E27">
        <v>26</v>
      </c>
      <c r="F27">
        <v>26</v>
      </c>
    </row>
    <row r="28" spans="1:6" x14ac:dyDescent="0.25">
      <c r="A28">
        <v>4500589742</v>
      </c>
      <c r="B28">
        <v>10</v>
      </c>
      <c r="C28" t="s">
        <v>532</v>
      </c>
      <c r="D28" s="64">
        <v>42638</v>
      </c>
      <c r="E28">
        <v>30</v>
      </c>
      <c r="F28">
        <v>30</v>
      </c>
    </row>
    <row r="29" spans="1:6" x14ac:dyDescent="0.25">
      <c r="A29">
        <v>4500589437</v>
      </c>
      <c r="B29">
        <v>10</v>
      </c>
      <c r="C29" t="s">
        <v>533</v>
      </c>
      <c r="D29" s="64">
        <v>42636</v>
      </c>
      <c r="E29">
        <v>39</v>
      </c>
      <c r="F29">
        <v>39</v>
      </c>
    </row>
    <row r="30" spans="1:6" x14ac:dyDescent="0.25">
      <c r="A30">
        <v>4500587443</v>
      </c>
      <c r="B30">
        <v>10</v>
      </c>
      <c r="C30" t="s">
        <v>534</v>
      </c>
      <c r="D30" s="64">
        <v>42631</v>
      </c>
      <c r="E30">
        <v>27</v>
      </c>
      <c r="F30">
        <v>27</v>
      </c>
    </row>
    <row r="31" spans="1:6" x14ac:dyDescent="0.25">
      <c r="A31">
        <v>4500587441</v>
      </c>
      <c r="B31">
        <v>10</v>
      </c>
      <c r="C31" t="s">
        <v>535</v>
      </c>
      <c r="D31" s="64">
        <v>42631</v>
      </c>
      <c r="E31">
        <v>36</v>
      </c>
      <c r="F31">
        <v>36</v>
      </c>
    </row>
    <row r="32" spans="1:6" x14ac:dyDescent="0.25">
      <c r="A32">
        <v>4500587440</v>
      </c>
      <c r="B32">
        <v>10</v>
      </c>
      <c r="C32" t="s">
        <v>536</v>
      </c>
      <c r="D32" s="64">
        <v>42631</v>
      </c>
      <c r="E32">
        <v>23</v>
      </c>
      <c r="F32">
        <v>23</v>
      </c>
    </row>
    <row r="33" spans="1:6" x14ac:dyDescent="0.25">
      <c r="A33">
        <v>4500587439</v>
      </c>
      <c r="B33">
        <v>10</v>
      </c>
      <c r="C33" t="s">
        <v>537</v>
      </c>
      <c r="D33" s="64">
        <v>42631</v>
      </c>
      <c r="E33">
        <v>18</v>
      </c>
      <c r="F33">
        <v>18</v>
      </c>
    </row>
    <row r="34" spans="1:6" x14ac:dyDescent="0.25">
      <c r="A34">
        <v>4500587437</v>
      </c>
      <c r="B34">
        <v>10</v>
      </c>
      <c r="C34" t="s">
        <v>538</v>
      </c>
      <c r="D34" s="64">
        <v>42631</v>
      </c>
      <c r="E34">
        <v>109</v>
      </c>
      <c r="F34">
        <v>109</v>
      </c>
    </row>
    <row r="35" spans="1:6" x14ac:dyDescent="0.25">
      <c r="A35">
        <v>4500587435</v>
      </c>
      <c r="B35">
        <v>10</v>
      </c>
      <c r="C35" t="s">
        <v>539</v>
      </c>
      <c r="D35" s="64">
        <v>42631</v>
      </c>
      <c r="E35">
        <v>27</v>
      </c>
      <c r="F35">
        <v>27</v>
      </c>
    </row>
    <row r="36" spans="1:6" x14ac:dyDescent="0.25">
      <c r="A36">
        <v>4500587433</v>
      </c>
      <c r="B36">
        <v>10</v>
      </c>
      <c r="C36" t="s">
        <v>540</v>
      </c>
      <c r="D36" s="64">
        <v>42631</v>
      </c>
      <c r="E36">
        <v>78</v>
      </c>
      <c r="F36">
        <v>78</v>
      </c>
    </row>
    <row r="37" spans="1:6" x14ac:dyDescent="0.25">
      <c r="A37">
        <v>4500587352</v>
      </c>
      <c r="B37">
        <v>10</v>
      </c>
      <c r="C37" t="s">
        <v>541</v>
      </c>
      <c r="D37" s="64">
        <v>42630</v>
      </c>
      <c r="E37">
        <v>20</v>
      </c>
      <c r="F37">
        <v>20</v>
      </c>
    </row>
    <row r="38" spans="1:6" x14ac:dyDescent="0.25">
      <c r="A38">
        <v>4500587108</v>
      </c>
      <c r="B38">
        <v>10</v>
      </c>
      <c r="C38" t="s">
        <v>542</v>
      </c>
      <c r="D38" s="64">
        <v>42629</v>
      </c>
      <c r="E38">
        <v>52</v>
      </c>
      <c r="F38">
        <v>52</v>
      </c>
    </row>
    <row r="39" spans="1:6" x14ac:dyDescent="0.25">
      <c r="A39">
        <v>4500587098</v>
      </c>
      <c r="B39">
        <v>10</v>
      </c>
      <c r="C39" t="s">
        <v>543</v>
      </c>
      <c r="D39" s="64">
        <v>42629</v>
      </c>
      <c r="E39">
        <v>44</v>
      </c>
      <c r="F39">
        <v>44</v>
      </c>
    </row>
    <row r="40" spans="1:6" x14ac:dyDescent="0.25">
      <c r="A40">
        <v>4500586898</v>
      </c>
      <c r="B40">
        <v>10</v>
      </c>
      <c r="C40" t="s">
        <v>544</v>
      </c>
      <c r="D40" s="64">
        <v>42628</v>
      </c>
      <c r="E40">
        <v>18</v>
      </c>
      <c r="F40">
        <v>18</v>
      </c>
    </row>
    <row r="41" spans="1:6" x14ac:dyDescent="0.25">
      <c r="A41">
        <v>4500586037</v>
      </c>
      <c r="B41">
        <v>10</v>
      </c>
      <c r="C41" t="s">
        <v>545</v>
      </c>
      <c r="D41" s="64">
        <v>42626</v>
      </c>
      <c r="E41">
        <v>19</v>
      </c>
      <c r="F41">
        <v>19</v>
      </c>
    </row>
    <row r="42" spans="1:6" x14ac:dyDescent="0.25">
      <c r="A42">
        <v>4500584591</v>
      </c>
      <c r="B42">
        <v>10</v>
      </c>
      <c r="C42" t="s">
        <v>546</v>
      </c>
      <c r="D42" s="64">
        <v>42621</v>
      </c>
      <c r="E42">
        <v>5</v>
      </c>
      <c r="F42">
        <v>3</v>
      </c>
    </row>
    <row r="43" spans="1:6" x14ac:dyDescent="0.25">
      <c r="A43">
        <v>4500584414</v>
      </c>
      <c r="B43">
        <v>10</v>
      </c>
      <c r="C43" t="s">
        <v>547</v>
      </c>
      <c r="D43" s="64">
        <v>42621</v>
      </c>
      <c r="E43">
        <v>21</v>
      </c>
      <c r="F43">
        <v>21</v>
      </c>
    </row>
    <row r="44" spans="1:6" x14ac:dyDescent="0.25">
      <c r="A44">
        <v>4500583763</v>
      </c>
      <c r="B44">
        <v>10</v>
      </c>
      <c r="C44" t="s">
        <v>548</v>
      </c>
      <c r="D44" s="64">
        <v>42619</v>
      </c>
      <c r="E44">
        <v>26</v>
      </c>
      <c r="F44">
        <v>26</v>
      </c>
    </row>
    <row r="45" spans="1:6" x14ac:dyDescent="0.25">
      <c r="A45">
        <v>4500583733</v>
      </c>
      <c r="B45">
        <v>10</v>
      </c>
      <c r="C45" t="s">
        <v>549</v>
      </c>
      <c r="D45" s="64">
        <v>42619</v>
      </c>
      <c r="E45">
        <v>155</v>
      </c>
      <c r="F45">
        <v>122</v>
      </c>
    </row>
    <row r="46" spans="1:6" x14ac:dyDescent="0.25">
      <c r="A46">
        <v>4500582780</v>
      </c>
      <c r="B46">
        <v>10</v>
      </c>
      <c r="C46" t="s">
        <v>550</v>
      </c>
      <c r="D46" s="64">
        <v>42616</v>
      </c>
      <c r="E46">
        <v>14</v>
      </c>
      <c r="F46">
        <v>493.03</v>
      </c>
    </row>
    <row r="47" spans="1:6" x14ac:dyDescent="0.25">
      <c r="A47">
        <v>4500581459</v>
      </c>
      <c r="B47">
        <v>10</v>
      </c>
      <c r="C47" t="s">
        <v>551</v>
      </c>
      <c r="D47" s="64">
        <v>42612</v>
      </c>
      <c r="E47">
        <v>101</v>
      </c>
      <c r="F47">
        <v>101</v>
      </c>
    </row>
    <row r="48" spans="1:6" x14ac:dyDescent="0.25">
      <c r="A48">
        <v>4500580483</v>
      </c>
      <c r="B48">
        <v>10</v>
      </c>
      <c r="C48" t="s">
        <v>552</v>
      </c>
      <c r="D48" s="64">
        <v>42609</v>
      </c>
      <c r="E48">
        <v>129</v>
      </c>
      <c r="F48">
        <v>2</v>
      </c>
    </row>
    <row r="49" spans="1:6" x14ac:dyDescent="0.25">
      <c r="A49">
        <v>4500580128</v>
      </c>
      <c r="B49">
        <v>10</v>
      </c>
      <c r="C49" t="s">
        <v>553</v>
      </c>
      <c r="D49" s="64">
        <v>42608</v>
      </c>
      <c r="E49">
        <v>17</v>
      </c>
      <c r="F49">
        <v>17</v>
      </c>
    </row>
    <row r="50" spans="1:6" x14ac:dyDescent="0.25">
      <c r="A50">
        <v>4500580107</v>
      </c>
      <c r="B50">
        <v>10</v>
      </c>
      <c r="C50" t="s">
        <v>554</v>
      </c>
      <c r="D50" s="64">
        <v>42608</v>
      </c>
      <c r="E50">
        <v>15</v>
      </c>
      <c r="F50">
        <v>5</v>
      </c>
    </row>
    <row r="51" spans="1:6" x14ac:dyDescent="0.25">
      <c r="A51">
        <v>4500578074</v>
      </c>
      <c r="B51">
        <v>10</v>
      </c>
      <c r="C51" t="s">
        <v>555</v>
      </c>
      <c r="D51" s="64">
        <v>42602</v>
      </c>
      <c r="E51">
        <v>7</v>
      </c>
      <c r="F51">
        <v>1</v>
      </c>
    </row>
    <row r="52" spans="1:6" x14ac:dyDescent="0.25">
      <c r="A52">
        <v>4500577140</v>
      </c>
      <c r="B52">
        <v>10</v>
      </c>
      <c r="C52" t="s">
        <v>556</v>
      </c>
      <c r="D52" s="64">
        <v>42599</v>
      </c>
      <c r="E52">
        <v>1</v>
      </c>
      <c r="F52">
        <v>1</v>
      </c>
    </row>
    <row r="53" spans="1:6" x14ac:dyDescent="0.25">
      <c r="A53">
        <v>4500577095</v>
      </c>
      <c r="B53">
        <v>10</v>
      </c>
      <c r="C53" t="s">
        <v>557</v>
      </c>
      <c r="D53" s="64">
        <v>42599</v>
      </c>
      <c r="E53">
        <v>37</v>
      </c>
      <c r="F53">
        <v>37</v>
      </c>
    </row>
    <row r="54" spans="1:6" x14ac:dyDescent="0.25">
      <c r="A54">
        <v>4500577088</v>
      </c>
      <c r="B54">
        <v>10</v>
      </c>
      <c r="C54" t="s">
        <v>558</v>
      </c>
      <c r="D54" s="64">
        <v>42599</v>
      </c>
      <c r="E54">
        <v>15</v>
      </c>
      <c r="F54">
        <v>15</v>
      </c>
    </row>
    <row r="55" spans="1:6" x14ac:dyDescent="0.25">
      <c r="A55">
        <v>4500575684</v>
      </c>
      <c r="B55">
        <v>10</v>
      </c>
      <c r="C55" t="s">
        <v>559</v>
      </c>
      <c r="D55" s="64">
        <v>42595</v>
      </c>
      <c r="E55">
        <v>9</v>
      </c>
      <c r="F55">
        <v>8</v>
      </c>
    </row>
    <row r="56" spans="1:6" x14ac:dyDescent="0.25">
      <c r="A56">
        <v>4500575683</v>
      </c>
      <c r="B56">
        <v>10</v>
      </c>
      <c r="C56" t="s">
        <v>560</v>
      </c>
      <c r="D56" s="64">
        <v>42595</v>
      </c>
      <c r="E56">
        <v>6</v>
      </c>
      <c r="F56">
        <v>1</v>
      </c>
    </row>
    <row r="57" spans="1:6" x14ac:dyDescent="0.25">
      <c r="A57">
        <v>4500575342</v>
      </c>
      <c r="B57">
        <v>10</v>
      </c>
      <c r="C57" t="s">
        <v>561</v>
      </c>
      <c r="D57" s="64">
        <v>42594</v>
      </c>
      <c r="E57">
        <v>55</v>
      </c>
      <c r="F57">
        <v>55</v>
      </c>
    </row>
    <row r="58" spans="1:6" x14ac:dyDescent="0.25">
      <c r="A58">
        <v>4500575342</v>
      </c>
      <c r="B58">
        <v>20</v>
      </c>
      <c r="C58" t="s">
        <v>562</v>
      </c>
      <c r="D58" s="64">
        <v>42594</v>
      </c>
      <c r="E58">
        <v>34</v>
      </c>
      <c r="F58">
        <v>34</v>
      </c>
    </row>
    <row r="59" spans="1:6" x14ac:dyDescent="0.25">
      <c r="A59">
        <v>4500575342</v>
      </c>
      <c r="B59">
        <v>30</v>
      </c>
      <c r="C59" t="s">
        <v>563</v>
      </c>
      <c r="D59" s="64">
        <v>42594</v>
      </c>
      <c r="E59">
        <v>22</v>
      </c>
      <c r="F59">
        <v>22</v>
      </c>
    </row>
    <row r="60" spans="1:6" x14ac:dyDescent="0.25">
      <c r="A60">
        <v>4500575342</v>
      </c>
      <c r="B60">
        <v>40</v>
      </c>
      <c r="C60" t="s">
        <v>564</v>
      </c>
      <c r="D60" s="64">
        <v>42594</v>
      </c>
      <c r="E60">
        <v>21</v>
      </c>
      <c r="F60">
        <v>21</v>
      </c>
    </row>
    <row r="61" spans="1:6" x14ac:dyDescent="0.25">
      <c r="A61">
        <v>4500575342</v>
      </c>
      <c r="B61">
        <v>50</v>
      </c>
      <c r="C61" t="s">
        <v>565</v>
      </c>
      <c r="D61" s="64">
        <v>42594</v>
      </c>
      <c r="E61">
        <v>35</v>
      </c>
      <c r="F61">
        <v>35</v>
      </c>
    </row>
    <row r="62" spans="1:6" x14ac:dyDescent="0.25">
      <c r="A62">
        <v>4500575019</v>
      </c>
      <c r="B62">
        <v>10</v>
      </c>
      <c r="C62" t="s">
        <v>566</v>
      </c>
      <c r="D62" s="64">
        <v>42593</v>
      </c>
      <c r="E62">
        <v>15</v>
      </c>
      <c r="F62">
        <v>15</v>
      </c>
    </row>
    <row r="63" spans="1:6" x14ac:dyDescent="0.25">
      <c r="A63">
        <v>4500574345</v>
      </c>
      <c r="B63">
        <v>10</v>
      </c>
      <c r="C63" t="s">
        <v>567</v>
      </c>
      <c r="D63" s="64">
        <v>42591</v>
      </c>
      <c r="E63">
        <v>44</v>
      </c>
      <c r="F63">
        <v>15</v>
      </c>
    </row>
    <row r="64" spans="1:6" x14ac:dyDescent="0.25">
      <c r="A64">
        <v>4500573627</v>
      </c>
      <c r="B64">
        <v>10</v>
      </c>
      <c r="C64" t="s">
        <v>568</v>
      </c>
      <c r="D64" s="64">
        <v>42588</v>
      </c>
      <c r="E64">
        <v>19</v>
      </c>
      <c r="F64">
        <v>19</v>
      </c>
    </row>
    <row r="65" spans="1:6" x14ac:dyDescent="0.25">
      <c r="A65">
        <v>4500572963</v>
      </c>
      <c r="B65">
        <v>10</v>
      </c>
      <c r="C65" t="s">
        <v>569</v>
      </c>
      <c r="D65" s="64">
        <v>42586</v>
      </c>
      <c r="E65">
        <v>12</v>
      </c>
      <c r="F65">
        <v>12</v>
      </c>
    </row>
    <row r="66" spans="1:6" x14ac:dyDescent="0.25">
      <c r="A66">
        <v>4500572799</v>
      </c>
      <c r="B66">
        <v>10</v>
      </c>
      <c r="C66" t="s">
        <v>570</v>
      </c>
      <c r="D66" s="64">
        <v>42585</v>
      </c>
      <c r="E66">
        <v>49</v>
      </c>
      <c r="F66">
        <v>23</v>
      </c>
    </row>
    <row r="67" spans="1:6" x14ac:dyDescent="0.25">
      <c r="A67">
        <v>4500572799</v>
      </c>
      <c r="B67">
        <v>20</v>
      </c>
      <c r="C67" t="s">
        <v>571</v>
      </c>
      <c r="D67" s="64">
        <v>42585</v>
      </c>
      <c r="E67">
        <v>49</v>
      </c>
      <c r="F67">
        <v>0</v>
      </c>
    </row>
    <row r="68" spans="1:6" x14ac:dyDescent="0.25">
      <c r="A68">
        <v>4500572799</v>
      </c>
      <c r="B68">
        <v>30</v>
      </c>
      <c r="C68" t="s">
        <v>572</v>
      </c>
      <c r="D68" s="64">
        <v>42585</v>
      </c>
      <c r="E68">
        <v>49</v>
      </c>
      <c r="F68">
        <v>6</v>
      </c>
    </row>
    <row r="69" spans="1:6" x14ac:dyDescent="0.25">
      <c r="A69">
        <v>4500570861</v>
      </c>
      <c r="B69">
        <v>10</v>
      </c>
      <c r="C69" t="s">
        <v>573</v>
      </c>
      <c r="D69" s="64">
        <v>42579</v>
      </c>
      <c r="E69">
        <v>49</v>
      </c>
      <c r="F69">
        <v>42</v>
      </c>
    </row>
    <row r="70" spans="1:6" x14ac:dyDescent="0.25">
      <c r="A70">
        <v>4500570400</v>
      </c>
      <c r="B70">
        <v>10</v>
      </c>
      <c r="C70" t="s">
        <v>574</v>
      </c>
      <c r="D70" s="64">
        <v>42579</v>
      </c>
      <c r="E70">
        <v>5</v>
      </c>
      <c r="F70">
        <v>1</v>
      </c>
    </row>
    <row r="71" spans="1:6" x14ac:dyDescent="0.25">
      <c r="A71">
        <v>4500570218</v>
      </c>
      <c r="B71">
        <v>10</v>
      </c>
      <c r="C71" t="s">
        <v>575</v>
      </c>
      <c r="D71" s="64">
        <v>42578</v>
      </c>
      <c r="E71">
        <v>12</v>
      </c>
      <c r="F71">
        <v>12</v>
      </c>
    </row>
    <row r="72" spans="1:6" x14ac:dyDescent="0.25">
      <c r="A72">
        <v>4500568844</v>
      </c>
      <c r="B72">
        <v>10</v>
      </c>
      <c r="C72" t="s">
        <v>576</v>
      </c>
      <c r="D72" s="64">
        <v>42573</v>
      </c>
      <c r="E72">
        <v>13</v>
      </c>
      <c r="F72">
        <v>6</v>
      </c>
    </row>
    <row r="73" spans="1:6" x14ac:dyDescent="0.25">
      <c r="A73">
        <v>4500568309</v>
      </c>
      <c r="B73">
        <v>10</v>
      </c>
      <c r="C73" t="s">
        <v>577</v>
      </c>
      <c r="D73" s="64">
        <v>42572</v>
      </c>
      <c r="E73">
        <v>36</v>
      </c>
      <c r="F73">
        <v>36</v>
      </c>
    </row>
    <row r="74" spans="1:6" x14ac:dyDescent="0.25">
      <c r="A74">
        <v>4500567727</v>
      </c>
      <c r="B74">
        <v>10</v>
      </c>
      <c r="C74" t="s">
        <v>578</v>
      </c>
      <c r="D74" s="64">
        <v>42571</v>
      </c>
      <c r="E74">
        <v>199</v>
      </c>
      <c r="F74">
        <v>49</v>
      </c>
    </row>
    <row r="75" spans="1:6" x14ac:dyDescent="0.25">
      <c r="A75">
        <v>4500567727</v>
      </c>
      <c r="B75">
        <v>20</v>
      </c>
      <c r="C75" t="s">
        <v>764</v>
      </c>
      <c r="D75" s="64">
        <v>42571</v>
      </c>
      <c r="E75">
        <v>49</v>
      </c>
      <c r="F75">
        <v>49</v>
      </c>
    </row>
    <row r="76" spans="1:6" x14ac:dyDescent="0.25">
      <c r="A76">
        <v>4500567648</v>
      </c>
      <c r="B76">
        <v>10</v>
      </c>
      <c r="C76" t="s">
        <v>579</v>
      </c>
      <c r="D76" s="64">
        <v>42571</v>
      </c>
      <c r="E76">
        <v>13</v>
      </c>
      <c r="F76">
        <v>13</v>
      </c>
    </row>
    <row r="77" spans="1:6" x14ac:dyDescent="0.25">
      <c r="A77">
        <v>4500567635</v>
      </c>
      <c r="B77">
        <v>10</v>
      </c>
      <c r="C77" t="s">
        <v>580</v>
      </c>
      <c r="D77" s="64">
        <v>42571</v>
      </c>
      <c r="E77">
        <v>23</v>
      </c>
      <c r="F77">
        <v>2</v>
      </c>
    </row>
    <row r="78" spans="1:6" x14ac:dyDescent="0.25">
      <c r="A78">
        <v>4500566690</v>
      </c>
      <c r="B78">
        <v>10</v>
      </c>
      <c r="C78" t="s">
        <v>581</v>
      </c>
      <c r="D78" s="64">
        <v>42568</v>
      </c>
      <c r="E78">
        <v>425</v>
      </c>
      <c r="F78">
        <v>425</v>
      </c>
    </row>
    <row r="79" spans="1:6" x14ac:dyDescent="0.25">
      <c r="A79">
        <v>4500566690</v>
      </c>
      <c r="B79">
        <v>20</v>
      </c>
      <c r="C79" t="s">
        <v>581</v>
      </c>
      <c r="D79" s="64">
        <v>42568</v>
      </c>
      <c r="E79">
        <v>425</v>
      </c>
      <c r="F79">
        <v>0</v>
      </c>
    </row>
    <row r="80" spans="1:6" x14ac:dyDescent="0.25">
      <c r="A80">
        <v>4500566684</v>
      </c>
      <c r="B80">
        <v>10</v>
      </c>
      <c r="C80" t="s">
        <v>582</v>
      </c>
      <c r="D80" s="64">
        <v>42568</v>
      </c>
      <c r="E80">
        <v>54</v>
      </c>
      <c r="F80">
        <v>54</v>
      </c>
    </row>
    <row r="81" spans="1:6" x14ac:dyDescent="0.25">
      <c r="A81">
        <v>4500566284</v>
      </c>
      <c r="B81">
        <v>10</v>
      </c>
      <c r="C81" t="s">
        <v>583</v>
      </c>
      <c r="D81" s="64">
        <v>42566</v>
      </c>
      <c r="E81">
        <v>35</v>
      </c>
      <c r="F81">
        <v>35</v>
      </c>
    </row>
    <row r="82" spans="1:6" x14ac:dyDescent="0.25">
      <c r="A82">
        <v>4500565135</v>
      </c>
      <c r="B82">
        <v>10</v>
      </c>
      <c r="C82" t="s">
        <v>584</v>
      </c>
      <c r="D82" s="64">
        <v>42563</v>
      </c>
      <c r="E82">
        <v>23</v>
      </c>
      <c r="F82">
        <v>23</v>
      </c>
    </row>
    <row r="83" spans="1:6" x14ac:dyDescent="0.25">
      <c r="A83">
        <v>4500564431</v>
      </c>
      <c r="B83">
        <v>10</v>
      </c>
      <c r="C83" t="s">
        <v>585</v>
      </c>
      <c r="D83" s="64">
        <v>42561</v>
      </c>
      <c r="E83">
        <v>18</v>
      </c>
      <c r="F83">
        <v>4</v>
      </c>
    </row>
    <row r="84" spans="1:6" x14ac:dyDescent="0.25">
      <c r="A84">
        <v>4500563968</v>
      </c>
      <c r="B84">
        <v>10</v>
      </c>
      <c r="C84" t="s">
        <v>586</v>
      </c>
      <c r="D84" s="64">
        <v>42558</v>
      </c>
      <c r="E84">
        <v>15</v>
      </c>
      <c r="F84">
        <v>15</v>
      </c>
    </row>
    <row r="85" spans="1:6" x14ac:dyDescent="0.25">
      <c r="A85">
        <v>4500562842</v>
      </c>
      <c r="B85">
        <v>10</v>
      </c>
      <c r="C85" t="s">
        <v>587</v>
      </c>
      <c r="D85" s="64">
        <v>42556</v>
      </c>
      <c r="E85">
        <v>30</v>
      </c>
      <c r="F85">
        <v>15</v>
      </c>
    </row>
    <row r="86" spans="1:6" x14ac:dyDescent="0.25">
      <c r="A86">
        <v>4500562188</v>
      </c>
      <c r="B86">
        <v>10</v>
      </c>
      <c r="C86" t="s">
        <v>588</v>
      </c>
      <c r="D86" s="64">
        <v>42554</v>
      </c>
      <c r="E86">
        <v>29</v>
      </c>
      <c r="F86">
        <v>1</v>
      </c>
    </row>
    <row r="87" spans="1:6" x14ac:dyDescent="0.25">
      <c r="A87">
        <v>4500562082</v>
      </c>
      <c r="B87">
        <v>10</v>
      </c>
      <c r="C87" t="s">
        <v>589</v>
      </c>
      <c r="D87" s="64">
        <v>42553</v>
      </c>
      <c r="E87">
        <v>191</v>
      </c>
      <c r="F87">
        <v>79</v>
      </c>
    </row>
    <row r="88" spans="1:6" x14ac:dyDescent="0.25">
      <c r="A88">
        <v>4500562081</v>
      </c>
      <c r="B88">
        <v>10</v>
      </c>
      <c r="C88" t="s">
        <v>590</v>
      </c>
      <c r="D88" s="64">
        <v>42553</v>
      </c>
      <c r="E88">
        <v>63</v>
      </c>
      <c r="F88">
        <v>33</v>
      </c>
    </row>
    <row r="89" spans="1:6" x14ac:dyDescent="0.25">
      <c r="A89">
        <v>4500561548</v>
      </c>
      <c r="B89">
        <v>10</v>
      </c>
      <c r="C89" t="s">
        <v>591</v>
      </c>
      <c r="D89" s="64">
        <v>42551</v>
      </c>
      <c r="E89">
        <v>28</v>
      </c>
      <c r="F89">
        <v>3</v>
      </c>
    </row>
    <row r="90" spans="1:6" x14ac:dyDescent="0.25">
      <c r="A90">
        <v>4500561547</v>
      </c>
      <c r="B90">
        <v>10</v>
      </c>
      <c r="C90" t="s">
        <v>591</v>
      </c>
      <c r="D90" s="64">
        <v>42551</v>
      </c>
      <c r="E90">
        <v>28</v>
      </c>
      <c r="F90">
        <v>40</v>
      </c>
    </row>
    <row r="91" spans="1:6" x14ac:dyDescent="0.25">
      <c r="A91">
        <v>4500561078</v>
      </c>
      <c r="B91">
        <v>10</v>
      </c>
      <c r="C91" t="s">
        <v>592</v>
      </c>
      <c r="D91" s="64">
        <v>42550</v>
      </c>
      <c r="E91">
        <v>5</v>
      </c>
      <c r="F91">
        <v>5</v>
      </c>
    </row>
    <row r="92" spans="1:6" x14ac:dyDescent="0.25">
      <c r="A92">
        <v>4500561060</v>
      </c>
      <c r="B92">
        <v>10</v>
      </c>
      <c r="C92" t="s">
        <v>593</v>
      </c>
      <c r="D92" s="64">
        <v>42550</v>
      </c>
      <c r="E92">
        <v>18</v>
      </c>
      <c r="F92">
        <v>18</v>
      </c>
    </row>
    <row r="93" spans="1:6" x14ac:dyDescent="0.25">
      <c r="A93">
        <v>4500561060</v>
      </c>
      <c r="B93">
        <v>10</v>
      </c>
      <c r="C93" t="s">
        <v>593</v>
      </c>
      <c r="D93" s="64">
        <v>42550</v>
      </c>
      <c r="E93">
        <v>18</v>
      </c>
      <c r="F93">
        <v>18</v>
      </c>
    </row>
    <row r="94" spans="1:6" x14ac:dyDescent="0.25">
      <c r="A94">
        <v>4500561027</v>
      </c>
      <c r="B94">
        <v>10</v>
      </c>
      <c r="C94" t="s">
        <v>594</v>
      </c>
      <c r="D94" s="64">
        <v>42550</v>
      </c>
      <c r="E94">
        <v>48</v>
      </c>
      <c r="F94">
        <v>48</v>
      </c>
    </row>
    <row r="95" spans="1:6" x14ac:dyDescent="0.25">
      <c r="A95">
        <v>4500560646</v>
      </c>
      <c r="B95">
        <v>10</v>
      </c>
      <c r="C95" t="s">
        <v>595</v>
      </c>
      <c r="D95" s="64">
        <v>42549</v>
      </c>
      <c r="E95">
        <v>8</v>
      </c>
      <c r="F95">
        <v>4</v>
      </c>
    </row>
    <row r="96" spans="1:6" x14ac:dyDescent="0.25">
      <c r="A96">
        <v>4500560240</v>
      </c>
      <c r="B96">
        <v>10</v>
      </c>
      <c r="C96" t="s">
        <v>596</v>
      </c>
      <c r="D96" s="64">
        <v>42548</v>
      </c>
      <c r="E96">
        <v>29</v>
      </c>
      <c r="F96">
        <v>23</v>
      </c>
    </row>
    <row r="97" spans="1:6" x14ac:dyDescent="0.25">
      <c r="A97">
        <v>4500559827</v>
      </c>
      <c r="B97">
        <v>10</v>
      </c>
      <c r="C97" t="s">
        <v>597</v>
      </c>
      <c r="D97" s="64">
        <v>42546</v>
      </c>
      <c r="E97">
        <v>89</v>
      </c>
      <c r="F97">
        <v>64</v>
      </c>
    </row>
    <row r="98" spans="1:6" x14ac:dyDescent="0.25">
      <c r="A98">
        <v>4500559823</v>
      </c>
      <c r="B98">
        <v>10</v>
      </c>
      <c r="C98" t="s">
        <v>598</v>
      </c>
      <c r="D98" s="64">
        <v>42546</v>
      </c>
      <c r="E98">
        <v>99</v>
      </c>
      <c r="F98">
        <v>99</v>
      </c>
    </row>
    <row r="99" spans="1:6" x14ac:dyDescent="0.25">
      <c r="A99">
        <v>4500559714</v>
      </c>
      <c r="B99">
        <v>10</v>
      </c>
      <c r="C99" t="s">
        <v>599</v>
      </c>
      <c r="D99" s="64">
        <v>42545</v>
      </c>
      <c r="E99">
        <v>9</v>
      </c>
      <c r="F99">
        <v>9</v>
      </c>
    </row>
    <row r="100" spans="1:6" x14ac:dyDescent="0.25">
      <c r="A100">
        <v>4500559272</v>
      </c>
      <c r="B100">
        <v>10</v>
      </c>
      <c r="C100" t="s">
        <v>600</v>
      </c>
      <c r="D100" s="64">
        <v>42544</v>
      </c>
      <c r="E100">
        <v>29</v>
      </c>
      <c r="F100">
        <v>2</v>
      </c>
    </row>
    <row r="101" spans="1:6" x14ac:dyDescent="0.25">
      <c r="A101">
        <v>4500559272</v>
      </c>
      <c r="B101">
        <v>20</v>
      </c>
      <c r="C101" t="s">
        <v>601</v>
      </c>
      <c r="D101" s="64">
        <v>42544</v>
      </c>
      <c r="E101">
        <v>13</v>
      </c>
      <c r="F101">
        <v>0</v>
      </c>
    </row>
    <row r="102" spans="1:6" x14ac:dyDescent="0.25">
      <c r="A102">
        <v>4500559272</v>
      </c>
      <c r="B102">
        <v>30</v>
      </c>
      <c r="C102" t="s">
        <v>602</v>
      </c>
      <c r="D102" s="64">
        <v>42544</v>
      </c>
      <c r="E102">
        <v>8</v>
      </c>
      <c r="F102">
        <v>8</v>
      </c>
    </row>
    <row r="103" spans="1:6" x14ac:dyDescent="0.25">
      <c r="A103">
        <v>4500558748</v>
      </c>
      <c r="B103">
        <v>10</v>
      </c>
      <c r="C103" t="s">
        <v>603</v>
      </c>
      <c r="D103" s="64">
        <v>42543</v>
      </c>
      <c r="E103">
        <v>9</v>
      </c>
      <c r="F103">
        <v>4</v>
      </c>
    </row>
    <row r="104" spans="1:6" x14ac:dyDescent="0.25">
      <c r="A104">
        <v>4500558729</v>
      </c>
      <c r="B104">
        <v>10</v>
      </c>
      <c r="C104" t="s">
        <v>604</v>
      </c>
      <c r="D104" s="64">
        <v>42543</v>
      </c>
      <c r="E104">
        <v>52</v>
      </c>
      <c r="F104">
        <v>52</v>
      </c>
    </row>
    <row r="105" spans="1:6" x14ac:dyDescent="0.25">
      <c r="A105">
        <v>4500558262</v>
      </c>
      <c r="B105">
        <v>10</v>
      </c>
      <c r="C105" t="s">
        <v>605</v>
      </c>
      <c r="D105" s="64">
        <v>42542</v>
      </c>
      <c r="E105">
        <v>11</v>
      </c>
      <c r="F105">
        <v>11</v>
      </c>
    </row>
    <row r="106" spans="1:6" x14ac:dyDescent="0.25">
      <c r="A106">
        <v>4500556853</v>
      </c>
      <c r="B106">
        <v>10</v>
      </c>
      <c r="C106" t="s">
        <v>606</v>
      </c>
      <c r="D106" s="64">
        <v>42538</v>
      </c>
      <c r="E106">
        <v>47</v>
      </c>
      <c r="F106">
        <v>31</v>
      </c>
    </row>
    <row r="107" spans="1:6" x14ac:dyDescent="0.25">
      <c r="A107">
        <v>4500556851</v>
      </c>
      <c r="B107">
        <v>10</v>
      </c>
      <c r="C107" t="s">
        <v>607</v>
      </c>
      <c r="D107" s="64">
        <v>42538</v>
      </c>
      <c r="E107">
        <v>34</v>
      </c>
      <c r="F107">
        <v>34</v>
      </c>
    </row>
    <row r="108" spans="1:6" x14ac:dyDescent="0.25">
      <c r="A108">
        <v>4500556747</v>
      </c>
      <c r="B108">
        <v>10</v>
      </c>
      <c r="C108" t="s">
        <v>608</v>
      </c>
      <c r="D108" s="64">
        <v>42538</v>
      </c>
      <c r="E108">
        <v>20</v>
      </c>
      <c r="F108">
        <v>20</v>
      </c>
    </row>
    <row r="109" spans="1:6" x14ac:dyDescent="0.25">
      <c r="A109">
        <v>4500556738</v>
      </c>
      <c r="B109">
        <v>10</v>
      </c>
      <c r="C109" t="s">
        <v>609</v>
      </c>
      <c r="D109" s="64">
        <v>42538</v>
      </c>
      <c r="E109">
        <v>517</v>
      </c>
      <c r="F109">
        <v>266</v>
      </c>
    </row>
    <row r="110" spans="1:6" x14ac:dyDescent="0.25">
      <c r="A110">
        <v>4500555618</v>
      </c>
      <c r="B110">
        <v>10</v>
      </c>
      <c r="C110" t="s">
        <v>610</v>
      </c>
      <c r="D110" s="64">
        <v>42535</v>
      </c>
      <c r="E110">
        <v>22</v>
      </c>
      <c r="F110">
        <v>22</v>
      </c>
    </row>
    <row r="111" spans="1:6" x14ac:dyDescent="0.25">
      <c r="A111">
        <v>4500555421</v>
      </c>
      <c r="B111">
        <v>10</v>
      </c>
      <c r="C111" t="s">
        <v>611</v>
      </c>
      <c r="D111" s="64">
        <v>42534</v>
      </c>
      <c r="E111">
        <v>129</v>
      </c>
      <c r="F111">
        <v>25</v>
      </c>
    </row>
    <row r="112" spans="1:6" x14ac:dyDescent="0.25">
      <c r="A112">
        <v>4500554312</v>
      </c>
      <c r="B112">
        <v>10</v>
      </c>
      <c r="C112" t="s">
        <v>612</v>
      </c>
      <c r="D112" s="64">
        <v>42530</v>
      </c>
      <c r="E112">
        <v>24</v>
      </c>
      <c r="F112">
        <v>24</v>
      </c>
    </row>
    <row r="113" spans="1:6" x14ac:dyDescent="0.25">
      <c r="A113">
        <v>4500553564</v>
      </c>
      <c r="B113">
        <v>10</v>
      </c>
      <c r="C113" t="s">
        <v>613</v>
      </c>
      <c r="D113" s="64">
        <v>42528</v>
      </c>
      <c r="E113">
        <v>4</v>
      </c>
      <c r="F113">
        <v>2</v>
      </c>
    </row>
    <row r="114" spans="1:6" x14ac:dyDescent="0.25">
      <c r="A114">
        <v>4500552217</v>
      </c>
      <c r="B114">
        <v>10</v>
      </c>
      <c r="C114" t="s">
        <v>614</v>
      </c>
      <c r="D114" s="64">
        <v>42523</v>
      </c>
      <c r="E114">
        <v>14</v>
      </c>
      <c r="F114">
        <v>14</v>
      </c>
    </row>
    <row r="115" spans="1:6" x14ac:dyDescent="0.25">
      <c r="A115">
        <v>4500552186</v>
      </c>
      <c r="B115">
        <v>10</v>
      </c>
      <c r="C115" t="s">
        <v>615</v>
      </c>
      <c r="D115" s="64">
        <v>42523</v>
      </c>
      <c r="E115">
        <v>66</v>
      </c>
      <c r="F115">
        <v>66</v>
      </c>
    </row>
    <row r="116" spans="1:6" x14ac:dyDescent="0.25">
      <c r="A116">
        <v>4500552166</v>
      </c>
      <c r="B116">
        <v>10</v>
      </c>
      <c r="C116" t="s">
        <v>616</v>
      </c>
      <c r="D116" s="64">
        <v>42523</v>
      </c>
      <c r="E116">
        <v>1</v>
      </c>
      <c r="F116">
        <v>1</v>
      </c>
    </row>
    <row r="117" spans="1:6" x14ac:dyDescent="0.25">
      <c r="A117">
        <v>4500551629</v>
      </c>
      <c r="B117">
        <v>10</v>
      </c>
      <c r="C117" t="s">
        <v>617</v>
      </c>
      <c r="D117" s="64">
        <v>42522</v>
      </c>
      <c r="E117">
        <v>35</v>
      </c>
      <c r="F117">
        <v>431</v>
      </c>
    </row>
    <row r="118" spans="1:6" x14ac:dyDescent="0.25">
      <c r="A118">
        <v>4500550481</v>
      </c>
      <c r="B118">
        <v>10</v>
      </c>
      <c r="C118" t="s">
        <v>618</v>
      </c>
      <c r="D118" s="64">
        <v>42518</v>
      </c>
      <c r="E118">
        <v>29</v>
      </c>
      <c r="F118">
        <v>22</v>
      </c>
    </row>
    <row r="119" spans="1:6" x14ac:dyDescent="0.25">
      <c r="A119">
        <v>4500550472</v>
      </c>
      <c r="B119">
        <v>10</v>
      </c>
      <c r="C119" t="s">
        <v>619</v>
      </c>
      <c r="D119" s="64">
        <v>42518</v>
      </c>
      <c r="E119">
        <v>99</v>
      </c>
      <c r="F119">
        <v>92</v>
      </c>
    </row>
    <row r="120" spans="1:6" x14ac:dyDescent="0.25">
      <c r="A120">
        <v>4500548709</v>
      </c>
      <c r="B120">
        <v>10</v>
      </c>
      <c r="C120" t="s">
        <v>620</v>
      </c>
      <c r="D120" s="64">
        <v>42513</v>
      </c>
      <c r="E120">
        <v>22</v>
      </c>
      <c r="F120">
        <v>0</v>
      </c>
    </row>
    <row r="121" spans="1:6" x14ac:dyDescent="0.25">
      <c r="A121">
        <v>4500548709</v>
      </c>
      <c r="B121">
        <v>20</v>
      </c>
      <c r="C121" t="s">
        <v>621</v>
      </c>
      <c r="D121" s="64">
        <v>42513</v>
      </c>
      <c r="E121">
        <v>22</v>
      </c>
      <c r="F121">
        <v>0</v>
      </c>
    </row>
    <row r="122" spans="1:6" x14ac:dyDescent="0.25">
      <c r="A122">
        <v>4500548709</v>
      </c>
      <c r="B122">
        <v>30</v>
      </c>
      <c r="C122" t="s">
        <v>622</v>
      </c>
      <c r="D122" s="64">
        <v>42513</v>
      </c>
      <c r="E122">
        <v>22</v>
      </c>
      <c r="F122">
        <v>0</v>
      </c>
    </row>
    <row r="123" spans="1:6" x14ac:dyDescent="0.25">
      <c r="A123">
        <v>4500548709</v>
      </c>
      <c r="B123">
        <v>40</v>
      </c>
      <c r="C123" t="s">
        <v>623</v>
      </c>
      <c r="D123" s="64">
        <v>42513</v>
      </c>
      <c r="E123">
        <v>22</v>
      </c>
      <c r="F123">
        <v>0</v>
      </c>
    </row>
    <row r="124" spans="1:6" x14ac:dyDescent="0.25">
      <c r="A124">
        <v>4500548709</v>
      </c>
      <c r="B124">
        <v>50</v>
      </c>
      <c r="C124" t="s">
        <v>624</v>
      </c>
      <c r="D124" s="64">
        <v>42513</v>
      </c>
      <c r="E124">
        <v>22</v>
      </c>
      <c r="F124">
        <v>0</v>
      </c>
    </row>
    <row r="125" spans="1:6" x14ac:dyDescent="0.25">
      <c r="A125">
        <v>4500548709</v>
      </c>
      <c r="B125">
        <v>60</v>
      </c>
      <c r="C125" t="s">
        <v>625</v>
      </c>
      <c r="D125" s="64">
        <v>42513</v>
      </c>
      <c r="E125">
        <v>22</v>
      </c>
      <c r="F125">
        <v>0</v>
      </c>
    </row>
    <row r="126" spans="1:6" x14ac:dyDescent="0.25">
      <c r="A126">
        <v>4500548709</v>
      </c>
      <c r="B126">
        <v>70</v>
      </c>
      <c r="C126" t="s">
        <v>626</v>
      </c>
      <c r="D126" s="64">
        <v>42513</v>
      </c>
      <c r="E126">
        <v>22</v>
      </c>
      <c r="F126">
        <v>17</v>
      </c>
    </row>
    <row r="127" spans="1:6" x14ac:dyDescent="0.25">
      <c r="A127">
        <v>4500548709</v>
      </c>
      <c r="B127">
        <v>80</v>
      </c>
      <c r="C127" t="s">
        <v>627</v>
      </c>
      <c r="D127" s="64">
        <v>42513</v>
      </c>
      <c r="E127">
        <v>22</v>
      </c>
      <c r="F127">
        <v>22</v>
      </c>
    </row>
    <row r="128" spans="1:6" x14ac:dyDescent="0.25">
      <c r="A128">
        <v>4500548709</v>
      </c>
      <c r="B128">
        <v>90</v>
      </c>
      <c r="C128" t="s">
        <v>628</v>
      </c>
      <c r="D128" s="64">
        <v>42513</v>
      </c>
      <c r="E128">
        <v>22</v>
      </c>
      <c r="F128">
        <v>22</v>
      </c>
    </row>
    <row r="129" spans="1:6" x14ac:dyDescent="0.25">
      <c r="A129">
        <v>4500548709</v>
      </c>
      <c r="B129">
        <v>100</v>
      </c>
      <c r="C129" t="s">
        <v>629</v>
      </c>
      <c r="D129" s="64">
        <v>42513</v>
      </c>
      <c r="E129">
        <v>22</v>
      </c>
      <c r="F129">
        <v>22</v>
      </c>
    </row>
    <row r="130" spans="1:6" x14ac:dyDescent="0.25">
      <c r="A130">
        <v>4500548709</v>
      </c>
      <c r="B130">
        <v>110</v>
      </c>
      <c r="C130" t="s">
        <v>630</v>
      </c>
      <c r="D130" s="64">
        <v>42513</v>
      </c>
      <c r="E130">
        <v>22</v>
      </c>
      <c r="F130">
        <v>22</v>
      </c>
    </row>
    <row r="131" spans="1:6" x14ac:dyDescent="0.25">
      <c r="A131">
        <v>4500548709</v>
      </c>
      <c r="B131">
        <v>120</v>
      </c>
      <c r="C131" t="s">
        <v>631</v>
      </c>
      <c r="D131" s="64">
        <v>42513</v>
      </c>
      <c r="E131">
        <v>22</v>
      </c>
      <c r="F131">
        <v>22</v>
      </c>
    </row>
    <row r="132" spans="1:6" x14ac:dyDescent="0.25">
      <c r="A132">
        <v>4500548700</v>
      </c>
      <c r="B132">
        <v>10</v>
      </c>
      <c r="C132" t="s">
        <v>632</v>
      </c>
      <c r="D132" s="64">
        <v>42513</v>
      </c>
      <c r="E132">
        <v>49</v>
      </c>
      <c r="F132">
        <v>25</v>
      </c>
    </row>
    <row r="133" spans="1:6" x14ac:dyDescent="0.25">
      <c r="A133">
        <v>4500548700</v>
      </c>
      <c r="B133">
        <v>20</v>
      </c>
      <c r="C133" t="s">
        <v>633</v>
      </c>
      <c r="D133" s="64">
        <v>42513</v>
      </c>
      <c r="E133">
        <v>49</v>
      </c>
      <c r="F133">
        <v>49</v>
      </c>
    </row>
    <row r="134" spans="1:6" x14ac:dyDescent="0.25">
      <c r="A134">
        <v>4500548695</v>
      </c>
      <c r="B134">
        <v>10</v>
      </c>
      <c r="C134" t="s">
        <v>634</v>
      </c>
      <c r="D134" s="64">
        <v>42513</v>
      </c>
      <c r="E134">
        <v>99</v>
      </c>
      <c r="F134">
        <v>99</v>
      </c>
    </row>
    <row r="135" spans="1:6" x14ac:dyDescent="0.25">
      <c r="A135">
        <v>4500548683</v>
      </c>
      <c r="B135">
        <v>10</v>
      </c>
      <c r="C135" t="s">
        <v>635</v>
      </c>
      <c r="D135" s="64">
        <v>42513</v>
      </c>
      <c r="E135">
        <v>39</v>
      </c>
      <c r="F135">
        <v>39</v>
      </c>
    </row>
    <row r="136" spans="1:6" x14ac:dyDescent="0.25">
      <c r="A136">
        <v>4500548675</v>
      </c>
      <c r="B136">
        <v>10</v>
      </c>
      <c r="C136" t="s">
        <v>636</v>
      </c>
      <c r="D136" s="64">
        <v>42513</v>
      </c>
      <c r="E136">
        <v>22</v>
      </c>
      <c r="F136">
        <v>806.9</v>
      </c>
    </row>
    <row r="137" spans="1:6" x14ac:dyDescent="0.25">
      <c r="A137">
        <v>4500548667</v>
      </c>
      <c r="B137">
        <v>10</v>
      </c>
      <c r="C137" t="s">
        <v>637</v>
      </c>
      <c r="D137" s="64">
        <v>42513</v>
      </c>
      <c r="E137">
        <v>22</v>
      </c>
      <c r="F137">
        <v>5</v>
      </c>
    </row>
    <row r="138" spans="1:6" x14ac:dyDescent="0.25">
      <c r="A138">
        <v>4500546993</v>
      </c>
      <c r="B138">
        <v>10</v>
      </c>
      <c r="C138" t="s">
        <v>638</v>
      </c>
      <c r="D138" s="64">
        <v>42508</v>
      </c>
      <c r="E138">
        <v>59</v>
      </c>
      <c r="F138">
        <v>20</v>
      </c>
    </row>
    <row r="139" spans="1:6" x14ac:dyDescent="0.25">
      <c r="A139">
        <v>4500546993</v>
      </c>
      <c r="B139">
        <v>20</v>
      </c>
      <c r="C139" t="s">
        <v>639</v>
      </c>
      <c r="D139" s="64">
        <v>42508</v>
      </c>
      <c r="E139">
        <v>69</v>
      </c>
      <c r="F139">
        <v>69</v>
      </c>
    </row>
    <row r="140" spans="1:6" x14ac:dyDescent="0.25">
      <c r="A140">
        <v>4500546625</v>
      </c>
      <c r="B140">
        <v>10</v>
      </c>
      <c r="C140" t="s">
        <v>640</v>
      </c>
      <c r="D140" s="64">
        <v>42506</v>
      </c>
      <c r="E140">
        <v>34</v>
      </c>
      <c r="F140">
        <v>8</v>
      </c>
    </row>
    <row r="141" spans="1:6" x14ac:dyDescent="0.25">
      <c r="A141">
        <v>4500546138</v>
      </c>
      <c r="B141">
        <v>10</v>
      </c>
      <c r="C141" t="s">
        <v>641</v>
      </c>
      <c r="D141" s="64">
        <v>42505</v>
      </c>
      <c r="E141">
        <v>10</v>
      </c>
      <c r="F141">
        <v>1</v>
      </c>
    </row>
    <row r="142" spans="1:6" x14ac:dyDescent="0.25">
      <c r="A142">
        <v>4500545937</v>
      </c>
      <c r="B142">
        <v>10</v>
      </c>
      <c r="C142" t="s">
        <v>642</v>
      </c>
      <c r="D142" s="64">
        <v>42503</v>
      </c>
      <c r="E142">
        <v>15</v>
      </c>
      <c r="F142">
        <v>12</v>
      </c>
    </row>
    <row r="143" spans="1:6" x14ac:dyDescent="0.25">
      <c r="A143">
        <v>4500545926</v>
      </c>
      <c r="B143">
        <v>10</v>
      </c>
      <c r="C143" t="s">
        <v>643</v>
      </c>
      <c r="D143" s="64">
        <v>42503</v>
      </c>
      <c r="E143">
        <v>40</v>
      </c>
      <c r="F143">
        <v>40</v>
      </c>
    </row>
    <row r="144" spans="1:6" x14ac:dyDescent="0.25">
      <c r="A144">
        <v>4500544613</v>
      </c>
      <c r="B144">
        <v>10</v>
      </c>
      <c r="C144" t="s">
        <v>644</v>
      </c>
      <c r="D144" s="64">
        <v>42500</v>
      </c>
      <c r="E144">
        <v>412</v>
      </c>
      <c r="F144">
        <v>223</v>
      </c>
    </row>
    <row r="145" spans="1:6" x14ac:dyDescent="0.25">
      <c r="A145">
        <v>4500544482</v>
      </c>
      <c r="B145">
        <v>10</v>
      </c>
      <c r="C145" t="s">
        <v>645</v>
      </c>
      <c r="D145" s="64">
        <v>42499</v>
      </c>
      <c r="E145">
        <v>49</v>
      </c>
      <c r="F145">
        <v>10</v>
      </c>
    </row>
    <row r="146" spans="1:6" x14ac:dyDescent="0.25">
      <c r="A146">
        <v>4500544253</v>
      </c>
      <c r="B146">
        <v>10</v>
      </c>
      <c r="C146" t="s">
        <v>646</v>
      </c>
      <c r="D146" s="64">
        <v>42499</v>
      </c>
      <c r="E146">
        <v>30</v>
      </c>
      <c r="F146">
        <v>30</v>
      </c>
    </row>
    <row r="147" spans="1:6" x14ac:dyDescent="0.25">
      <c r="A147">
        <v>4500543998</v>
      </c>
      <c r="B147">
        <v>10</v>
      </c>
      <c r="C147" t="s">
        <v>647</v>
      </c>
      <c r="D147" s="64">
        <v>42498</v>
      </c>
      <c r="E147">
        <v>79</v>
      </c>
      <c r="F147">
        <v>4</v>
      </c>
    </row>
    <row r="148" spans="1:6" x14ac:dyDescent="0.25">
      <c r="A148">
        <v>4500543992</v>
      </c>
      <c r="B148">
        <v>10</v>
      </c>
      <c r="C148" t="s">
        <v>648</v>
      </c>
      <c r="D148" s="64">
        <v>42498</v>
      </c>
      <c r="E148">
        <v>35</v>
      </c>
      <c r="F148">
        <v>22</v>
      </c>
    </row>
    <row r="149" spans="1:6" x14ac:dyDescent="0.25">
      <c r="A149">
        <v>4500543946</v>
      </c>
      <c r="B149">
        <v>10</v>
      </c>
      <c r="C149" t="s">
        <v>649</v>
      </c>
      <c r="D149" s="64">
        <v>42498</v>
      </c>
      <c r="E149">
        <v>15</v>
      </c>
      <c r="F149">
        <v>338</v>
      </c>
    </row>
    <row r="150" spans="1:6" x14ac:dyDescent="0.25">
      <c r="A150">
        <v>4500543900</v>
      </c>
      <c r="B150">
        <v>10</v>
      </c>
      <c r="C150" t="s">
        <v>650</v>
      </c>
      <c r="D150" s="64">
        <v>42497</v>
      </c>
      <c r="E150">
        <v>276</v>
      </c>
      <c r="F150">
        <v>44</v>
      </c>
    </row>
    <row r="151" spans="1:6" x14ac:dyDescent="0.25">
      <c r="A151">
        <v>4500543900</v>
      </c>
      <c r="B151">
        <v>20</v>
      </c>
      <c r="C151" t="s">
        <v>651</v>
      </c>
      <c r="D151" s="64">
        <v>42497</v>
      </c>
      <c r="E151">
        <v>63</v>
      </c>
      <c r="F151">
        <v>63</v>
      </c>
    </row>
    <row r="152" spans="1:6" x14ac:dyDescent="0.25">
      <c r="A152">
        <v>4500543893</v>
      </c>
      <c r="B152">
        <v>10</v>
      </c>
      <c r="C152" t="s">
        <v>652</v>
      </c>
      <c r="D152" s="64">
        <v>42497</v>
      </c>
      <c r="E152">
        <v>11</v>
      </c>
      <c r="F152">
        <v>2</v>
      </c>
    </row>
    <row r="153" spans="1:6" x14ac:dyDescent="0.25">
      <c r="A153">
        <v>4500543425</v>
      </c>
      <c r="B153">
        <v>10</v>
      </c>
      <c r="C153" t="s">
        <v>653</v>
      </c>
      <c r="D153" s="64">
        <v>42495</v>
      </c>
      <c r="E153">
        <v>48</v>
      </c>
      <c r="F153">
        <v>3</v>
      </c>
    </row>
    <row r="154" spans="1:6" x14ac:dyDescent="0.25">
      <c r="A154">
        <v>4500543318</v>
      </c>
      <c r="B154">
        <v>10</v>
      </c>
      <c r="C154" t="s">
        <v>654</v>
      </c>
      <c r="D154" s="64">
        <v>42495</v>
      </c>
      <c r="E154">
        <v>32</v>
      </c>
      <c r="F154">
        <v>21</v>
      </c>
    </row>
    <row r="155" spans="1:6" x14ac:dyDescent="0.25">
      <c r="A155">
        <v>4500542924</v>
      </c>
      <c r="B155">
        <v>10</v>
      </c>
      <c r="C155" t="s">
        <v>655</v>
      </c>
      <c r="D155" s="64">
        <v>42494</v>
      </c>
      <c r="E155">
        <v>17</v>
      </c>
      <c r="F155">
        <v>4</v>
      </c>
    </row>
    <row r="156" spans="1:6" x14ac:dyDescent="0.25">
      <c r="A156">
        <v>4500542906</v>
      </c>
      <c r="B156">
        <v>10</v>
      </c>
      <c r="C156" t="s">
        <v>656</v>
      </c>
      <c r="D156" s="64">
        <v>42494</v>
      </c>
      <c r="E156">
        <v>93</v>
      </c>
      <c r="F156">
        <v>0</v>
      </c>
    </row>
    <row r="157" spans="1:6" x14ac:dyDescent="0.25">
      <c r="A157">
        <v>4500542906</v>
      </c>
      <c r="B157">
        <v>10</v>
      </c>
      <c r="C157" t="s">
        <v>656</v>
      </c>
      <c r="D157" s="64">
        <v>42494</v>
      </c>
      <c r="E157">
        <v>93</v>
      </c>
      <c r="F157">
        <v>0</v>
      </c>
    </row>
    <row r="158" spans="1:6" x14ac:dyDescent="0.25">
      <c r="A158">
        <v>4500542906</v>
      </c>
      <c r="B158">
        <v>20</v>
      </c>
      <c r="C158" t="s">
        <v>656</v>
      </c>
      <c r="D158" s="64">
        <v>42494</v>
      </c>
      <c r="E158">
        <v>93</v>
      </c>
      <c r="F158">
        <v>36</v>
      </c>
    </row>
    <row r="159" spans="1:6" x14ac:dyDescent="0.25">
      <c r="A159">
        <v>4500542906</v>
      </c>
      <c r="B159">
        <v>20</v>
      </c>
      <c r="C159" t="s">
        <v>656</v>
      </c>
      <c r="D159" s="64">
        <v>42494</v>
      </c>
      <c r="E159">
        <v>93</v>
      </c>
      <c r="F159">
        <v>36</v>
      </c>
    </row>
    <row r="160" spans="1:6" x14ac:dyDescent="0.25">
      <c r="A160">
        <v>4500542906</v>
      </c>
      <c r="B160">
        <v>30</v>
      </c>
      <c r="C160" t="s">
        <v>656</v>
      </c>
      <c r="D160" s="64">
        <v>42494</v>
      </c>
      <c r="E160">
        <v>28</v>
      </c>
      <c r="F160">
        <v>28</v>
      </c>
    </row>
    <row r="161" spans="1:6" x14ac:dyDescent="0.25">
      <c r="A161">
        <v>4500542906</v>
      </c>
      <c r="B161">
        <v>30</v>
      </c>
      <c r="C161" t="s">
        <v>656</v>
      </c>
      <c r="D161" s="64">
        <v>42494</v>
      </c>
      <c r="E161">
        <v>28</v>
      </c>
      <c r="F161">
        <v>28</v>
      </c>
    </row>
    <row r="162" spans="1:6" x14ac:dyDescent="0.25">
      <c r="A162">
        <v>4500542876</v>
      </c>
      <c r="B162">
        <v>10</v>
      </c>
      <c r="C162" t="s">
        <v>657</v>
      </c>
      <c r="D162" s="64">
        <v>42494</v>
      </c>
      <c r="E162">
        <v>77</v>
      </c>
      <c r="F162">
        <v>77</v>
      </c>
    </row>
    <row r="163" spans="1:6" x14ac:dyDescent="0.25">
      <c r="A163">
        <v>4500542870</v>
      </c>
      <c r="B163">
        <v>10</v>
      </c>
      <c r="C163" t="s">
        <v>658</v>
      </c>
      <c r="D163" s="64">
        <v>42494</v>
      </c>
      <c r="E163">
        <v>65</v>
      </c>
      <c r="F163">
        <v>1</v>
      </c>
    </row>
    <row r="164" spans="1:6" x14ac:dyDescent="0.25">
      <c r="A164">
        <v>4500542864</v>
      </c>
      <c r="B164">
        <v>10</v>
      </c>
      <c r="C164" t="s">
        <v>659</v>
      </c>
      <c r="D164" s="64">
        <v>42494</v>
      </c>
      <c r="E164">
        <v>24</v>
      </c>
      <c r="F164">
        <v>3</v>
      </c>
    </row>
    <row r="165" spans="1:6" x14ac:dyDescent="0.25">
      <c r="A165">
        <v>4500530412</v>
      </c>
      <c r="B165">
        <v>10</v>
      </c>
      <c r="C165" t="s">
        <v>660</v>
      </c>
      <c r="D165" s="64">
        <v>42453</v>
      </c>
      <c r="E165">
        <v>36</v>
      </c>
      <c r="F165">
        <v>2</v>
      </c>
    </row>
    <row r="166" spans="1:6" x14ac:dyDescent="0.25">
      <c r="A166">
        <v>4500530047</v>
      </c>
      <c r="B166">
        <v>10</v>
      </c>
      <c r="C166" t="s">
        <v>661</v>
      </c>
      <c r="D166" s="64">
        <v>42452</v>
      </c>
      <c r="E166">
        <v>35</v>
      </c>
      <c r="F166">
        <v>6</v>
      </c>
    </row>
    <row r="167" spans="1:6" x14ac:dyDescent="0.25">
      <c r="A167">
        <v>4500529792</v>
      </c>
      <c r="B167">
        <v>10</v>
      </c>
      <c r="C167" t="s">
        <v>662</v>
      </c>
      <c r="D167" s="64">
        <v>42451</v>
      </c>
      <c r="E167">
        <v>28</v>
      </c>
      <c r="F167">
        <v>28</v>
      </c>
    </row>
    <row r="168" spans="1:6" x14ac:dyDescent="0.25">
      <c r="A168">
        <v>4500529792</v>
      </c>
      <c r="B168">
        <v>10</v>
      </c>
      <c r="C168" t="s">
        <v>662</v>
      </c>
      <c r="D168" s="64">
        <v>42451</v>
      </c>
      <c r="E168">
        <v>28</v>
      </c>
      <c r="F168">
        <v>28</v>
      </c>
    </row>
    <row r="169" spans="1:6" x14ac:dyDescent="0.25">
      <c r="A169">
        <v>4500528421</v>
      </c>
      <c r="B169">
        <v>10</v>
      </c>
      <c r="C169" t="s">
        <v>663</v>
      </c>
      <c r="D169" s="64">
        <v>42447</v>
      </c>
      <c r="E169">
        <v>104</v>
      </c>
      <c r="F169">
        <v>22</v>
      </c>
    </row>
    <row r="170" spans="1:6" x14ac:dyDescent="0.25">
      <c r="A170">
        <v>4500527697</v>
      </c>
      <c r="B170">
        <v>10</v>
      </c>
      <c r="C170" t="s">
        <v>664</v>
      </c>
      <c r="D170" s="64">
        <v>42445</v>
      </c>
      <c r="E170">
        <v>7</v>
      </c>
      <c r="F170">
        <v>7</v>
      </c>
    </row>
    <row r="171" spans="1:6" x14ac:dyDescent="0.25">
      <c r="A171">
        <v>4500526691</v>
      </c>
      <c r="B171">
        <v>10</v>
      </c>
      <c r="C171" t="s">
        <v>665</v>
      </c>
      <c r="D171" s="64">
        <v>42442</v>
      </c>
      <c r="E171">
        <v>46</v>
      </c>
      <c r="F171">
        <v>46</v>
      </c>
    </row>
    <row r="172" spans="1:6" x14ac:dyDescent="0.25">
      <c r="A172">
        <v>4500526402</v>
      </c>
      <c r="B172">
        <v>10</v>
      </c>
      <c r="C172" t="s">
        <v>666</v>
      </c>
      <c r="D172" s="64">
        <v>42440</v>
      </c>
      <c r="E172">
        <v>3</v>
      </c>
      <c r="F172">
        <v>3.93</v>
      </c>
    </row>
    <row r="173" spans="1:6" x14ac:dyDescent="0.25">
      <c r="A173">
        <v>4500526379</v>
      </c>
      <c r="B173">
        <v>10</v>
      </c>
      <c r="C173" t="s">
        <v>667</v>
      </c>
      <c r="D173" s="64">
        <v>42440</v>
      </c>
      <c r="E173">
        <v>80</v>
      </c>
      <c r="F173">
        <v>80</v>
      </c>
    </row>
    <row r="174" spans="1:6" x14ac:dyDescent="0.25">
      <c r="A174">
        <v>4500525172</v>
      </c>
      <c r="B174">
        <v>10</v>
      </c>
      <c r="C174" t="s">
        <v>668</v>
      </c>
      <c r="D174" s="64">
        <v>42437</v>
      </c>
      <c r="E174">
        <v>138</v>
      </c>
      <c r="F174">
        <v>22</v>
      </c>
    </row>
    <row r="175" spans="1:6" x14ac:dyDescent="0.25">
      <c r="A175">
        <v>4500524667</v>
      </c>
      <c r="B175">
        <v>10</v>
      </c>
      <c r="C175" t="s">
        <v>669</v>
      </c>
      <c r="D175" s="64">
        <v>42435</v>
      </c>
      <c r="E175">
        <v>26</v>
      </c>
      <c r="F175">
        <v>4</v>
      </c>
    </row>
    <row r="176" spans="1:6" x14ac:dyDescent="0.25">
      <c r="A176">
        <v>4500524454</v>
      </c>
      <c r="B176">
        <v>10</v>
      </c>
      <c r="C176" t="s">
        <v>670</v>
      </c>
      <c r="D176" s="64">
        <v>42433</v>
      </c>
      <c r="E176">
        <v>8</v>
      </c>
      <c r="F176">
        <v>118.03</v>
      </c>
    </row>
    <row r="177" spans="1:6" x14ac:dyDescent="0.25">
      <c r="A177">
        <v>4500524243</v>
      </c>
      <c r="B177">
        <v>10</v>
      </c>
      <c r="C177" t="s">
        <v>671</v>
      </c>
      <c r="D177" s="64">
        <v>42433</v>
      </c>
      <c r="E177">
        <v>18</v>
      </c>
      <c r="F177">
        <v>469.99</v>
      </c>
    </row>
    <row r="178" spans="1:6" x14ac:dyDescent="0.25">
      <c r="A178">
        <v>4500523559</v>
      </c>
      <c r="B178">
        <v>10</v>
      </c>
      <c r="C178" t="s">
        <v>672</v>
      </c>
      <c r="D178" s="64">
        <v>42431</v>
      </c>
      <c r="E178">
        <v>93</v>
      </c>
      <c r="F178">
        <v>93</v>
      </c>
    </row>
    <row r="179" spans="1:6" x14ac:dyDescent="0.25">
      <c r="A179">
        <v>4500522996</v>
      </c>
      <c r="B179">
        <v>10</v>
      </c>
      <c r="C179" t="s">
        <v>673</v>
      </c>
      <c r="D179" s="64">
        <v>42429</v>
      </c>
      <c r="E179">
        <v>59</v>
      </c>
      <c r="F179">
        <v>54</v>
      </c>
    </row>
    <row r="180" spans="1:6" x14ac:dyDescent="0.25">
      <c r="A180">
        <v>4500522978</v>
      </c>
      <c r="B180">
        <v>10</v>
      </c>
      <c r="C180" t="s">
        <v>674</v>
      </c>
      <c r="D180" s="64">
        <v>42429</v>
      </c>
      <c r="E180">
        <v>59</v>
      </c>
      <c r="F180">
        <v>22</v>
      </c>
    </row>
    <row r="181" spans="1:6" x14ac:dyDescent="0.25">
      <c r="A181">
        <v>4500522260</v>
      </c>
      <c r="B181">
        <v>10</v>
      </c>
      <c r="C181" t="s">
        <v>675</v>
      </c>
      <c r="D181" s="64">
        <v>42427</v>
      </c>
      <c r="E181">
        <v>39</v>
      </c>
      <c r="F181">
        <v>5</v>
      </c>
    </row>
    <row r="182" spans="1:6" x14ac:dyDescent="0.25">
      <c r="A182">
        <v>4500522217</v>
      </c>
      <c r="B182">
        <v>10</v>
      </c>
      <c r="C182" t="s">
        <v>676</v>
      </c>
      <c r="D182" s="64">
        <v>42427</v>
      </c>
      <c r="E182">
        <v>3</v>
      </c>
      <c r="F182">
        <v>17.989999999999998</v>
      </c>
    </row>
    <row r="183" spans="1:6" x14ac:dyDescent="0.25">
      <c r="A183">
        <v>4500522215</v>
      </c>
      <c r="B183">
        <v>10</v>
      </c>
      <c r="C183" t="s">
        <v>677</v>
      </c>
      <c r="D183" s="64">
        <v>42427</v>
      </c>
      <c r="E183">
        <v>6</v>
      </c>
      <c r="F183">
        <v>27.56</v>
      </c>
    </row>
    <row r="184" spans="1:6" x14ac:dyDescent="0.25">
      <c r="A184">
        <v>4500522039</v>
      </c>
      <c r="B184">
        <v>10</v>
      </c>
      <c r="C184" t="s">
        <v>678</v>
      </c>
      <c r="D184" s="64">
        <v>42426</v>
      </c>
      <c r="E184">
        <v>39</v>
      </c>
      <c r="F184">
        <v>27</v>
      </c>
    </row>
    <row r="185" spans="1:6" x14ac:dyDescent="0.25">
      <c r="A185">
        <v>4500521234</v>
      </c>
      <c r="B185">
        <v>10</v>
      </c>
      <c r="C185" t="s">
        <v>679</v>
      </c>
      <c r="D185" s="64">
        <v>42424</v>
      </c>
      <c r="E185">
        <v>7</v>
      </c>
      <c r="F185">
        <v>7</v>
      </c>
    </row>
    <row r="186" spans="1:6" x14ac:dyDescent="0.25">
      <c r="A186">
        <v>4500520261</v>
      </c>
      <c r="B186">
        <v>10</v>
      </c>
      <c r="C186" t="s">
        <v>680</v>
      </c>
      <c r="D186" s="64">
        <v>42421</v>
      </c>
      <c r="E186">
        <v>28</v>
      </c>
      <c r="F186">
        <v>28</v>
      </c>
    </row>
    <row r="187" spans="1:6" x14ac:dyDescent="0.25">
      <c r="A187">
        <v>4500520133</v>
      </c>
      <c r="B187">
        <v>10</v>
      </c>
      <c r="C187" t="s">
        <v>681</v>
      </c>
      <c r="D187" s="64">
        <v>42420</v>
      </c>
      <c r="E187">
        <v>157</v>
      </c>
      <c r="F187">
        <v>157</v>
      </c>
    </row>
    <row r="188" spans="1:6" x14ac:dyDescent="0.25">
      <c r="A188">
        <v>4500519601</v>
      </c>
      <c r="B188">
        <v>10</v>
      </c>
      <c r="C188" t="s">
        <v>682</v>
      </c>
      <c r="D188" s="64">
        <v>42418</v>
      </c>
      <c r="E188">
        <v>98</v>
      </c>
      <c r="F188">
        <v>61</v>
      </c>
    </row>
    <row r="189" spans="1:6" x14ac:dyDescent="0.25">
      <c r="A189">
        <v>4500518140</v>
      </c>
      <c r="B189">
        <v>10</v>
      </c>
      <c r="C189" t="s">
        <v>683</v>
      </c>
      <c r="D189" s="64">
        <v>42414</v>
      </c>
      <c r="E189">
        <v>13</v>
      </c>
      <c r="F189">
        <v>2</v>
      </c>
    </row>
    <row r="190" spans="1:6" x14ac:dyDescent="0.25">
      <c r="A190">
        <v>4500517463</v>
      </c>
      <c r="B190">
        <v>10</v>
      </c>
      <c r="C190" t="s">
        <v>684</v>
      </c>
      <c r="D190" s="64">
        <v>42411</v>
      </c>
      <c r="E190">
        <v>7</v>
      </c>
      <c r="F190">
        <v>7</v>
      </c>
    </row>
    <row r="191" spans="1:6" x14ac:dyDescent="0.25">
      <c r="A191">
        <v>4500515890</v>
      </c>
      <c r="B191">
        <v>10</v>
      </c>
      <c r="C191" t="s">
        <v>685</v>
      </c>
      <c r="D191" s="64">
        <v>42407</v>
      </c>
      <c r="E191">
        <v>9</v>
      </c>
      <c r="F191">
        <v>805</v>
      </c>
    </row>
    <row r="192" spans="1:6" x14ac:dyDescent="0.25">
      <c r="A192">
        <v>4500515766</v>
      </c>
      <c r="B192">
        <v>10</v>
      </c>
      <c r="C192" t="s">
        <v>686</v>
      </c>
      <c r="D192" s="64">
        <v>42406</v>
      </c>
      <c r="E192">
        <v>61</v>
      </c>
      <c r="F192">
        <v>0</v>
      </c>
    </row>
    <row r="193" spans="1:6" x14ac:dyDescent="0.25">
      <c r="A193">
        <v>4500515766</v>
      </c>
      <c r="B193">
        <v>20</v>
      </c>
      <c r="C193" t="s">
        <v>687</v>
      </c>
      <c r="D193" s="64">
        <v>42406</v>
      </c>
      <c r="E193">
        <v>74</v>
      </c>
      <c r="F193">
        <v>64</v>
      </c>
    </row>
    <row r="194" spans="1:6" x14ac:dyDescent="0.25">
      <c r="A194">
        <v>4500515748</v>
      </c>
      <c r="B194">
        <v>10</v>
      </c>
      <c r="C194" t="s">
        <v>688</v>
      </c>
      <c r="D194" s="64">
        <v>42406</v>
      </c>
      <c r="E194">
        <v>27</v>
      </c>
      <c r="F194">
        <v>24</v>
      </c>
    </row>
    <row r="195" spans="1:6" x14ac:dyDescent="0.25">
      <c r="A195">
        <v>4500515746</v>
      </c>
      <c r="B195">
        <v>10</v>
      </c>
      <c r="C195" t="s">
        <v>689</v>
      </c>
      <c r="D195" s="64">
        <v>42406</v>
      </c>
      <c r="E195">
        <v>71</v>
      </c>
      <c r="F195">
        <v>22</v>
      </c>
    </row>
    <row r="196" spans="1:6" x14ac:dyDescent="0.25">
      <c r="A196">
        <v>4500515338</v>
      </c>
      <c r="B196">
        <v>10</v>
      </c>
      <c r="C196" t="s">
        <v>690</v>
      </c>
      <c r="D196" s="64">
        <v>42404</v>
      </c>
      <c r="E196">
        <v>126</v>
      </c>
      <c r="F196">
        <v>44</v>
      </c>
    </row>
    <row r="197" spans="1:6" x14ac:dyDescent="0.25">
      <c r="A197">
        <v>4500515004</v>
      </c>
      <c r="B197">
        <v>10</v>
      </c>
      <c r="C197" t="s">
        <v>691</v>
      </c>
      <c r="D197" s="64">
        <v>42403</v>
      </c>
      <c r="E197">
        <v>134</v>
      </c>
      <c r="F197">
        <v>31</v>
      </c>
    </row>
    <row r="198" spans="1:6" x14ac:dyDescent="0.25">
      <c r="A198">
        <v>4500515003</v>
      </c>
      <c r="B198">
        <v>10</v>
      </c>
      <c r="C198" t="s">
        <v>692</v>
      </c>
      <c r="D198" s="64">
        <v>42403</v>
      </c>
      <c r="E198">
        <v>134</v>
      </c>
      <c r="F198">
        <v>57</v>
      </c>
    </row>
    <row r="199" spans="1:6" x14ac:dyDescent="0.25">
      <c r="A199">
        <v>4500515002</v>
      </c>
      <c r="B199">
        <v>10</v>
      </c>
      <c r="C199" t="s">
        <v>693</v>
      </c>
      <c r="D199" s="64">
        <v>42403</v>
      </c>
      <c r="E199">
        <v>134</v>
      </c>
      <c r="F199">
        <v>62</v>
      </c>
    </row>
    <row r="200" spans="1:6" x14ac:dyDescent="0.25">
      <c r="A200">
        <v>4500514237</v>
      </c>
      <c r="B200">
        <v>10</v>
      </c>
      <c r="C200" t="s">
        <v>694</v>
      </c>
      <c r="D200" s="64">
        <v>42401</v>
      </c>
      <c r="E200">
        <v>27</v>
      </c>
      <c r="F200">
        <v>20</v>
      </c>
    </row>
    <row r="201" spans="1:6" x14ac:dyDescent="0.25">
      <c r="A201">
        <v>4500514216</v>
      </c>
      <c r="B201">
        <v>10</v>
      </c>
      <c r="C201" t="s">
        <v>694</v>
      </c>
      <c r="D201" s="64">
        <v>42401</v>
      </c>
      <c r="E201">
        <v>27</v>
      </c>
      <c r="F201">
        <v>27</v>
      </c>
    </row>
    <row r="202" spans="1:6" x14ac:dyDescent="0.25">
      <c r="A202">
        <v>4500513615</v>
      </c>
      <c r="B202">
        <v>10</v>
      </c>
      <c r="C202" t="s">
        <v>695</v>
      </c>
      <c r="D202" s="64">
        <v>42399</v>
      </c>
      <c r="E202">
        <v>9</v>
      </c>
      <c r="F202">
        <v>2</v>
      </c>
    </row>
    <row r="203" spans="1:6" x14ac:dyDescent="0.25">
      <c r="A203">
        <v>4500513607</v>
      </c>
      <c r="B203">
        <v>10</v>
      </c>
      <c r="C203" t="s">
        <v>696</v>
      </c>
      <c r="D203" s="64">
        <v>42399</v>
      </c>
      <c r="E203">
        <v>31</v>
      </c>
      <c r="F203">
        <v>3</v>
      </c>
    </row>
    <row r="204" spans="1:6" x14ac:dyDescent="0.25">
      <c r="A204">
        <v>4500513331</v>
      </c>
      <c r="B204">
        <v>10</v>
      </c>
      <c r="C204" t="s">
        <v>697</v>
      </c>
      <c r="D204" s="64">
        <v>42398</v>
      </c>
      <c r="E204">
        <v>33</v>
      </c>
      <c r="F204">
        <v>3</v>
      </c>
    </row>
    <row r="205" spans="1:6" x14ac:dyDescent="0.25">
      <c r="A205">
        <v>4500513191</v>
      </c>
      <c r="B205">
        <v>10</v>
      </c>
      <c r="C205" t="s">
        <v>698</v>
      </c>
      <c r="D205" s="64">
        <v>42397</v>
      </c>
      <c r="E205">
        <v>8</v>
      </c>
      <c r="F205">
        <v>2</v>
      </c>
    </row>
    <row r="206" spans="1:6" x14ac:dyDescent="0.25">
      <c r="A206">
        <v>4500513173</v>
      </c>
      <c r="B206">
        <v>10</v>
      </c>
      <c r="C206" t="s">
        <v>699</v>
      </c>
      <c r="D206" s="64">
        <v>42397</v>
      </c>
      <c r="E206">
        <v>7</v>
      </c>
      <c r="F206">
        <v>4</v>
      </c>
    </row>
    <row r="207" spans="1:6" x14ac:dyDescent="0.25">
      <c r="A207">
        <v>4500513117</v>
      </c>
      <c r="B207">
        <v>10</v>
      </c>
      <c r="C207" t="s">
        <v>700</v>
      </c>
      <c r="D207" s="64">
        <v>42397</v>
      </c>
      <c r="E207">
        <v>9</v>
      </c>
      <c r="F207">
        <v>5</v>
      </c>
    </row>
    <row r="208" spans="1:6" x14ac:dyDescent="0.25">
      <c r="A208">
        <v>4500512700</v>
      </c>
      <c r="B208">
        <v>10</v>
      </c>
      <c r="C208" t="s">
        <v>701</v>
      </c>
      <c r="D208" s="64">
        <v>42396</v>
      </c>
      <c r="E208">
        <v>23</v>
      </c>
      <c r="F208">
        <v>23</v>
      </c>
    </row>
    <row r="209" spans="1:6" x14ac:dyDescent="0.25">
      <c r="A209">
        <v>4500511540</v>
      </c>
      <c r="B209">
        <v>10</v>
      </c>
      <c r="C209" t="s">
        <v>702</v>
      </c>
      <c r="D209" s="64">
        <v>42392</v>
      </c>
      <c r="E209">
        <v>17</v>
      </c>
      <c r="F209">
        <v>10</v>
      </c>
    </row>
    <row r="210" spans="1:6" x14ac:dyDescent="0.25">
      <c r="A210">
        <v>4500511475</v>
      </c>
      <c r="B210">
        <v>10</v>
      </c>
      <c r="C210" t="s">
        <v>703</v>
      </c>
      <c r="D210" s="64">
        <v>42392</v>
      </c>
      <c r="E210">
        <v>5</v>
      </c>
      <c r="F210">
        <v>5</v>
      </c>
    </row>
    <row r="211" spans="1:6" x14ac:dyDescent="0.25">
      <c r="A211">
        <v>4500510321</v>
      </c>
      <c r="B211">
        <v>10</v>
      </c>
      <c r="C211" t="s">
        <v>704</v>
      </c>
      <c r="D211" s="64">
        <v>42388</v>
      </c>
      <c r="E211">
        <v>99</v>
      </c>
      <c r="F211">
        <v>1</v>
      </c>
    </row>
    <row r="212" spans="1:6" x14ac:dyDescent="0.25">
      <c r="A212">
        <v>4500509414</v>
      </c>
      <c r="B212">
        <v>10</v>
      </c>
      <c r="C212" t="s">
        <v>705</v>
      </c>
      <c r="D212" s="64">
        <v>42386</v>
      </c>
      <c r="E212">
        <v>34</v>
      </c>
      <c r="F212">
        <v>303.62</v>
      </c>
    </row>
    <row r="213" spans="1:6" x14ac:dyDescent="0.25">
      <c r="A213">
        <v>4500509309</v>
      </c>
      <c r="B213">
        <v>10</v>
      </c>
      <c r="C213" t="s">
        <v>706</v>
      </c>
      <c r="D213" s="64">
        <v>42385</v>
      </c>
      <c r="E213">
        <v>25</v>
      </c>
      <c r="F213">
        <v>903.54</v>
      </c>
    </row>
    <row r="214" spans="1:6" x14ac:dyDescent="0.25">
      <c r="A214">
        <v>4500506842</v>
      </c>
      <c r="B214">
        <v>10</v>
      </c>
      <c r="C214" t="s">
        <v>707</v>
      </c>
      <c r="D214" s="64">
        <v>42377</v>
      </c>
      <c r="E214">
        <v>20</v>
      </c>
      <c r="F214">
        <v>0</v>
      </c>
    </row>
    <row r="215" spans="1:6" x14ac:dyDescent="0.25">
      <c r="A215">
        <v>4500506842</v>
      </c>
      <c r="B215">
        <v>20</v>
      </c>
      <c r="C215" t="s">
        <v>708</v>
      </c>
      <c r="D215" s="64">
        <v>42377</v>
      </c>
      <c r="E215">
        <v>47</v>
      </c>
      <c r="F215">
        <v>0</v>
      </c>
    </row>
    <row r="216" spans="1:6" x14ac:dyDescent="0.25">
      <c r="A216">
        <v>4500506842</v>
      </c>
      <c r="B216">
        <v>30</v>
      </c>
      <c r="C216" t="s">
        <v>709</v>
      </c>
      <c r="D216" s="64">
        <v>42377</v>
      </c>
      <c r="E216">
        <v>48</v>
      </c>
      <c r="F216">
        <v>342.72</v>
      </c>
    </row>
    <row r="217" spans="1:6" x14ac:dyDescent="0.25">
      <c r="A217">
        <v>4500506842</v>
      </c>
      <c r="B217">
        <v>40</v>
      </c>
      <c r="C217" t="s">
        <v>710</v>
      </c>
      <c r="D217" s="64">
        <v>42377</v>
      </c>
      <c r="E217">
        <v>57</v>
      </c>
      <c r="F217">
        <v>0</v>
      </c>
    </row>
    <row r="218" spans="1:6" x14ac:dyDescent="0.25">
      <c r="A218">
        <v>4500506842</v>
      </c>
      <c r="B218">
        <v>50</v>
      </c>
      <c r="C218" t="s">
        <v>711</v>
      </c>
      <c r="D218" s="64">
        <v>42377</v>
      </c>
      <c r="E218">
        <v>39</v>
      </c>
      <c r="F218">
        <v>0</v>
      </c>
    </row>
    <row r="219" spans="1:6" x14ac:dyDescent="0.25">
      <c r="A219">
        <v>4500506842</v>
      </c>
      <c r="B219">
        <v>60</v>
      </c>
      <c r="C219" t="s">
        <v>712</v>
      </c>
      <c r="D219" s="64">
        <v>42377</v>
      </c>
      <c r="E219">
        <v>31</v>
      </c>
      <c r="F219">
        <v>0</v>
      </c>
    </row>
    <row r="220" spans="1:6" x14ac:dyDescent="0.25">
      <c r="A220">
        <v>4500506842</v>
      </c>
      <c r="B220">
        <v>70</v>
      </c>
      <c r="C220" t="s">
        <v>713</v>
      </c>
      <c r="D220" s="64">
        <v>42377</v>
      </c>
      <c r="E220">
        <v>19</v>
      </c>
      <c r="F220">
        <v>0</v>
      </c>
    </row>
    <row r="221" spans="1:6" x14ac:dyDescent="0.25">
      <c r="A221">
        <v>4500506842</v>
      </c>
      <c r="B221">
        <v>80</v>
      </c>
      <c r="C221" t="s">
        <v>714</v>
      </c>
      <c r="D221" s="64">
        <v>42377</v>
      </c>
      <c r="E221">
        <v>14</v>
      </c>
      <c r="F221">
        <v>11</v>
      </c>
    </row>
    <row r="222" spans="1:6" x14ac:dyDescent="0.25">
      <c r="A222">
        <v>4500506842</v>
      </c>
      <c r="B222">
        <v>90</v>
      </c>
      <c r="C222" t="s">
        <v>715</v>
      </c>
      <c r="D222" s="64">
        <v>42377</v>
      </c>
      <c r="E222">
        <v>18</v>
      </c>
      <c r="F222">
        <v>4</v>
      </c>
    </row>
    <row r="223" spans="1:6" x14ac:dyDescent="0.25">
      <c r="A223">
        <v>4500506842</v>
      </c>
      <c r="B223">
        <v>100</v>
      </c>
      <c r="C223" t="s">
        <v>716</v>
      </c>
      <c r="D223" s="64">
        <v>42377</v>
      </c>
      <c r="E223">
        <v>16</v>
      </c>
      <c r="F223">
        <v>0</v>
      </c>
    </row>
    <row r="224" spans="1:6" x14ac:dyDescent="0.25">
      <c r="A224">
        <v>4500506842</v>
      </c>
      <c r="B224">
        <v>110</v>
      </c>
      <c r="C224" t="s">
        <v>717</v>
      </c>
      <c r="D224" s="64">
        <v>42377</v>
      </c>
      <c r="E224">
        <v>17</v>
      </c>
      <c r="F224">
        <v>17</v>
      </c>
    </row>
    <row r="225" spans="1:6" x14ac:dyDescent="0.25">
      <c r="A225">
        <v>4500506082</v>
      </c>
      <c r="B225">
        <v>10</v>
      </c>
      <c r="C225" t="s">
        <v>718</v>
      </c>
      <c r="D225" s="64">
        <v>42375</v>
      </c>
      <c r="E225">
        <v>86</v>
      </c>
      <c r="F225">
        <v>31</v>
      </c>
    </row>
    <row r="226" spans="1:6" x14ac:dyDescent="0.25">
      <c r="A226">
        <v>4500504919</v>
      </c>
      <c r="B226">
        <v>10</v>
      </c>
      <c r="C226" t="s">
        <v>719</v>
      </c>
      <c r="D226" s="64">
        <v>42372</v>
      </c>
      <c r="E226">
        <v>41</v>
      </c>
      <c r="F226">
        <v>0</v>
      </c>
    </row>
    <row r="227" spans="1:6" x14ac:dyDescent="0.25">
      <c r="A227">
        <v>4500504919</v>
      </c>
      <c r="B227">
        <v>20</v>
      </c>
      <c r="C227" t="s">
        <v>593</v>
      </c>
      <c r="D227" s="64">
        <v>42372</v>
      </c>
      <c r="E227">
        <v>101</v>
      </c>
      <c r="F227">
        <v>36</v>
      </c>
    </row>
    <row r="228" spans="1:6" x14ac:dyDescent="0.25">
      <c r="A228">
        <v>4500504911</v>
      </c>
      <c r="B228">
        <v>10</v>
      </c>
      <c r="C228" t="s">
        <v>720</v>
      </c>
      <c r="D228" s="64">
        <v>42372</v>
      </c>
      <c r="E228">
        <v>61</v>
      </c>
      <c r="F228">
        <v>1</v>
      </c>
    </row>
    <row r="229" spans="1:6" x14ac:dyDescent="0.25">
      <c r="A229">
        <v>4500503900</v>
      </c>
      <c r="B229">
        <v>10</v>
      </c>
      <c r="C229" t="s">
        <v>721</v>
      </c>
      <c r="D229" s="64">
        <v>42367</v>
      </c>
      <c r="E229">
        <v>61</v>
      </c>
      <c r="F229">
        <v>34</v>
      </c>
    </row>
    <row r="230" spans="1:6" x14ac:dyDescent="0.25">
      <c r="A230">
        <v>4500497181</v>
      </c>
      <c r="B230">
        <v>10</v>
      </c>
      <c r="C230" t="s">
        <v>722</v>
      </c>
      <c r="D230" s="64">
        <v>42343</v>
      </c>
      <c r="E230">
        <v>10</v>
      </c>
      <c r="F230">
        <v>1</v>
      </c>
    </row>
    <row r="231" spans="1:6" x14ac:dyDescent="0.25">
      <c r="A231">
        <v>4500492803</v>
      </c>
      <c r="B231">
        <v>10</v>
      </c>
      <c r="C231" t="s">
        <v>723</v>
      </c>
      <c r="D231" s="64">
        <v>42329</v>
      </c>
      <c r="E231">
        <v>95</v>
      </c>
      <c r="F231">
        <v>95</v>
      </c>
    </row>
    <row r="232" spans="1:6" x14ac:dyDescent="0.25">
      <c r="A232">
        <v>4500492235</v>
      </c>
      <c r="B232">
        <v>10</v>
      </c>
      <c r="C232" t="s">
        <v>724</v>
      </c>
      <c r="D232" s="64">
        <v>42327</v>
      </c>
      <c r="E232">
        <v>128</v>
      </c>
      <c r="F232">
        <v>102</v>
      </c>
    </row>
    <row r="233" spans="1:6" x14ac:dyDescent="0.25">
      <c r="A233">
        <v>4500488855</v>
      </c>
      <c r="B233">
        <v>10</v>
      </c>
      <c r="C233" t="s">
        <v>725</v>
      </c>
      <c r="D233" s="64">
        <v>42316</v>
      </c>
      <c r="E233">
        <v>6</v>
      </c>
      <c r="F233">
        <v>11.85</v>
      </c>
    </row>
    <row r="234" spans="1:6" x14ac:dyDescent="0.25">
      <c r="A234">
        <v>4500488835</v>
      </c>
      <c r="B234">
        <v>10</v>
      </c>
      <c r="C234" t="s">
        <v>726</v>
      </c>
      <c r="D234" s="64">
        <v>42316</v>
      </c>
      <c r="E234">
        <v>82</v>
      </c>
      <c r="F234">
        <v>1</v>
      </c>
    </row>
    <row r="235" spans="1:6" x14ac:dyDescent="0.25">
      <c r="A235">
        <v>4500488430</v>
      </c>
      <c r="B235">
        <v>10</v>
      </c>
      <c r="C235" t="s">
        <v>727</v>
      </c>
      <c r="D235" s="64">
        <v>42314</v>
      </c>
      <c r="E235">
        <v>18</v>
      </c>
      <c r="F235">
        <v>514.69000000000005</v>
      </c>
    </row>
    <row r="236" spans="1:6" x14ac:dyDescent="0.25">
      <c r="A236">
        <v>4500487743</v>
      </c>
      <c r="B236">
        <v>10</v>
      </c>
      <c r="C236" t="s">
        <v>728</v>
      </c>
      <c r="D236" s="64">
        <v>42312</v>
      </c>
      <c r="E236">
        <v>11</v>
      </c>
      <c r="F236">
        <v>11</v>
      </c>
    </row>
    <row r="237" spans="1:6" x14ac:dyDescent="0.25">
      <c r="A237">
        <v>4500487162</v>
      </c>
      <c r="B237">
        <v>10</v>
      </c>
      <c r="C237" t="s">
        <v>729</v>
      </c>
      <c r="D237" s="64">
        <v>42311</v>
      </c>
      <c r="E237">
        <v>28</v>
      </c>
      <c r="F237">
        <v>19</v>
      </c>
    </row>
    <row r="238" spans="1:6" x14ac:dyDescent="0.25">
      <c r="A238">
        <v>4500482824</v>
      </c>
      <c r="B238">
        <v>10</v>
      </c>
      <c r="C238" t="s">
        <v>730</v>
      </c>
      <c r="D238" s="64">
        <v>42296</v>
      </c>
      <c r="E238">
        <v>25</v>
      </c>
      <c r="F238">
        <v>0</v>
      </c>
    </row>
    <row r="239" spans="1:6" x14ac:dyDescent="0.25">
      <c r="A239">
        <v>4500482824</v>
      </c>
      <c r="B239">
        <v>20</v>
      </c>
      <c r="C239" t="s">
        <v>731</v>
      </c>
      <c r="D239" s="64">
        <v>42296</v>
      </c>
      <c r="E239">
        <v>18</v>
      </c>
      <c r="F239">
        <v>11</v>
      </c>
    </row>
    <row r="240" spans="1:6" x14ac:dyDescent="0.25">
      <c r="A240">
        <v>4500476894</v>
      </c>
      <c r="B240">
        <v>10</v>
      </c>
      <c r="C240" t="s">
        <v>732</v>
      </c>
      <c r="D240" s="64">
        <v>42275</v>
      </c>
      <c r="E240">
        <v>9</v>
      </c>
      <c r="F240">
        <v>5</v>
      </c>
    </row>
    <row r="241" spans="1:6" x14ac:dyDescent="0.25">
      <c r="A241">
        <v>4500473824</v>
      </c>
      <c r="B241">
        <v>10</v>
      </c>
      <c r="C241" t="s">
        <v>733</v>
      </c>
      <c r="D241" s="64">
        <v>42264</v>
      </c>
      <c r="E241">
        <v>89</v>
      </c>
      <c r="F241">
        <v>6</v>
      </c>
    </row>
    <row r="242" spans="1:6" x14ac:dyDescent="0.25">
      <c r="A242">
        <v>4500471051</v>
      </c>
      <c r="B242">
        <v>10</v>
      </c>
      <c r="C242" t="s">
        <v>734</v>
      </c>
      <c r="D242" s="64">
        <v>42255</v>
      </c>
      <c r="E242">
        <v>24</v>
      </c>
      <c r="F242">
        <v>0</v>
      </c>
    </row>
    <row r="243" spans="1:6" x14ac:dyDescent="0.25">
      <c r="A243">
        <v>4500471051</v>
      </c>
      <c r="B243">
        <v>20</v>
      </c>
      <c r="C243" t="s">
        <v>735</v>
      </c>
      <c r="D243" s="64">
        <v>42255</v>
      </c>
      <c r="E243">
        <v>52</v>
      </c>
      <c r="F243">
        <v>3</v>
      </c>
    </row>
    <row r="244" spans="1:6" x14ac:dyDescent="0.25">
      <c r="A244">
        <v>4500470562</v>
      </c>
      <c r="B244">
        <v>10</v>
      </c>
      <c r="C244" t="s">
        <v>736</v>
      </c>
      <c r="D244" s="64">
        <v>42253</v>
      </c>
      <c r="E244">
        <v>21</v>
      </c>
      <c r="F244">
        <v>0.34</v>
      </c>
    </row>
    <row r="245" spans="1:6" x14ac:dyDescent="0.25">
      <c r="A245">
        <v>4500466999</v>
      </c>
      <c r="B245">
        <v>10</v>
      </c>
      <c r="C245" t="s">
        <v>737</v>
      </c>
      <c r="D245" s="64">
        <v>42241</v>
      </c>
      <c r="E245">
        <v>59</v>
      </c>
      <c r="F245">
        <v>3</v>
      </c>
    </row>
    <row r="246" spans="1:6" x14ac:dyDescent="0.25">
      <c r="A246">
        <v>4500455868</v>
      </c>
      <c r="B246">
        <v>10</v>
      </c>
      <c r="C246" t="s">
        <v>738</v>
      </c>
      <c r="D246" s="64">
        <v>42205</v>
      </c>
      <c r="E246">
        <v>360</v>
      </c>
      <c r="F246">
        <v>0</v>
      </c>
    </row>
    <row r="247" spans="1:6" x14ac:dyDescent="0.25">
      <c r="A247">
        <v>4500455868</v>
      </c>
      <c r="B247">
        <v>20</v>
      </c>
      <c r="C247" t="s">
        <v>739</v>
      </c>
      <c r="D247" s="64">
        <v>42205</v>
      </c>
      <c r="E247">
        <v>364</v>
      </c>
      <c r="F247">
        <v>0</v>
      </c>
    </row>
    <row r="248" spans="1:6" x14ac:dyDescent="0.25">
      <c r="A248">
        <v>4500455868</v>
      </c>
      <c r="B248">
        <v>30</v>
      </c>
      <c r="C248" t="s">
        <v>740</v>
      </c>
      <c r="D248" s="64">
        <v>42205</v>
      </c>
      <c r="E248">
        <v>540</v>
      </c>
      <c r="F248">
        <v>0</v>
      </c>
    </row>
    <row r="249" spans="1:6" x14ac:dyDescent="0.25">
      <c r="A249">
        <v>4500455868</v>
      </c>
      <c r="B249">
        <v>40</v>
      </c>
      <c r="C249" t="s">
        <v>741</v>
      </c>
      <c r="D249" s="64">
        <v>42205</v>
      </c>
      <c r="E249">
        <v>540</v>
      </c>
      <c r="F249">
        <v>32</v>
      </c>
    </row>
    <row r="250" spans="1:6" x14ac:dyDescent="0.25">
      <c r="A250">
        <v>4500443810</v>
      </c>
      <c r="B250">
        <v>10</v>
      </c>
      <c r="C250" t="s">
        <v>742</v>
      </c>
      <c r="D250" s="64">
        <v>42165</v>
      </c>
      <c r="E250">
        <v>23</v>
      </c>
      <c r="F250">
        <v>3</v>
      </c>
    </row>
    <row r="251" spans="1:6" x14ac:dyDescent="0.25">
      <c r="A251">
        <v>4500430673</v>
      </c>
      <c r="B251">
        <v>10</v>
      </c>
      <c r="C251" t="s">
        <v>743</v>
      </c>
      <c r="D251" s="64">
        <v>42122</v>
      </c>
      <c r="E251">
        <v>42</v>
      </c>
      <c r="F251">
        <v>1</v>
      </c>
    </row>
    <row r="252" spans="1:6" x14ac:dyDescent="0.25">
      <c r="A252">
        <v>4500418163</v>
      </c>
      <c r="B252">
        <v>10</v>
      </c>
      <c r="C252" t="s">
        <v>744</v>
      </c>
      <c r="D252" s="64">
        <v>42078</v>
      </c>
      <c r="E252">
        <v>117</v>
      </c>
      <c r="F252">
        <v>76</v>
      </c>
    </row>
    <row r="253" spans="1:6" x14ac:dyDescent="0.25">
      <c r="A253">
        <v>4500405814</v>
      </c>
      <c r="B253">
        <v>10</v>
      </c>
      <c r="C253" t="s">
        <v>745</v>
      </c>
      <c r="D253" s="64">
        <v>42033</v>
      </c>
      <c r="E253">
        <v>38</v>
      </c>
      <c r="F253">
        <v>12</v>
      </c>
    </row>
    <row r="254" spans="1:6" x14ac:dyDescent="0.25">
      <c r="A254">
        <v>4500404644</v>
      </c>
      <c r="B254">
        <v>10</v>
      </c>
      <c r="C254" t="s">
        <v>746</v>
      </c>
      <c r="D254" s="64">
        <v>42028</v>
      </c>
      <c r="E254">
        <v>21</v>
      </c>
      <c r="F254">
        <v>6</v>
      </c>
    </row>
    <row r="255" spans="1:6" x14ac:dyDescent="0.25">
      <c r="A255">
        <v>4500404565</v>
      </c>
      <c r="B255">
        <v>10</v>
      </c>
      <c r="C255" t="s">
        <v>747</v>
      </c>
      <c r="D255" s="64">
        <v>42028</v>
      </c>
      <c r="E255">
        <v>38</v>
      </c>
      <c r="F255">
        <v>1</v>
      </c>
    </row>
    <row r="256" spans="1:6" x14ac:dyDescent="0.25">
      <c r="A256">
        <v>4500382662</v>
      </c>
      <c r="B256">
        <v>10</v>
      </c>
      <c r="C256" t="s">
        <v>748</v>
      </c>
      <c r="D256" s="64">
        <v>41941</v>
      </c>
      <c r="E256">
        <v>28</v>
      </c>
      <c r="F256">
        <v>28</v>
      </c>
    </row>
    <row r="257" spans="1:6" x14ac:dyDescent="0.25">
      <c r="A257">
        <v>4500374028</v>
      </c>
      <c r="B257">
        <v>10</v>
      </c>
      <c r="C257" t="s">
        <v>749</v>
      </c>
      <c r="D257" s="64">
        <v>41905</v>
      </c>
      <c r="E257">
        <v>7</v>
      </c>
      <c r="F257">
        <v>7</v>
      </c>
    </row>
    <row r="258" spans="1:6" x14ac:dyDescent="0.25">
      <c r="A258">
        <v>4500373212</v>
      </c>
      <c r="B258">
        <v>10</v>
      </c>
      <c r="C258" t="s">
        <v>750</v>
      </c>
      <c r="D258" s="64">
        <v>41901</v>
      </c>
      <c r="E258">
        <v>20</v>
      </c>
      <c r="F258">
        <v>13</v>
      </c>
    </row>
    <row r="259" spans="1:6" x14ac:dyDescent="0.25">
      <c r="A259">
        <v>4500370978</v>
      </c>
      <c r="B259">
        <v>10</v>
      </c>
      <c r="C259" t="s">
        <v>751</v>
      </c>
      <c r="D259" s="64">
        <v>41893</v>
      </c>
      <c r="E259">
        <v>21</v>
      </c>
      <c r="F259">
        <v>252.56</v>
      </c>
    </row>
    <row r="260" spans="1:6" x14ac:dyDescent="0.25">
      <c r="A260">
        <v>4500370978</v>
      </c>
      <c r="B260">
        <v>20</v>
      </c>
      <c r="C260" t="s">
        <v>752</v>
      </c>
      <c r="D260" s="64">
        <v>41893</v>
      </c>
      <c r="E260">
        <v>12</v>
      </c>
      <c r="F260">
        <v>53.21</v>
      </c>
    </row>
    <row r="261" spans="1:6" x14ac:dyDescent="0.25">
      <c r="A261">
        <v>4500370965</v>
      </c>
      <c r="B261">
        <v>10</v>
      </c>
      <c r="C261" t="s">
        <v>753</v>
      </c>
      <c r="D261" s="64">
        <v>41893</v>
      </c>
      <c r="E261">
        <v>11</v>
      </c>
      <c r="F261">
        <v>812.61</v>
      </c>
    </row>
    <row r="262" spans="1:6" x14ac:dyDescent="0.25">
      <c r="A262">
        <v>4500370965</v>
      </c>
      <c r="B262">
        <v>20</v>
      </c>
      <c r="C262" t="s">
        <v>754</v>
      </c>
      <c r="D262" s="64">
        <v>41893</v>
      </c>
      <c r="E262">
        <v>42</v>
      </c>
      <c r="F262">
        <v>0</v>
      </c>
    </row>
    <row r="263" spans="1:6" x14ac:dyDescent="0.25">
      <c r="A263">
        <v>4500370947</v>
      </c>
      <c r="B263">
        <v>10</v>
      </c>
      <c r="C263" t="s">
        <v>755</v>
      </c>
      <c r="D263" s="64">
        <v>41893</v>
      </c>
      <c r="E263">
        <v>32</v>
      </c>
      <c r="F263">
        <v>217.64</v>
      </c>
    </row>
    <row r="264" spans="1:6" x14ac:dyDescent="0.25">
      <c r="A264">
        <v>4500370941</v>
      </c>
      <c r="B264">
        <v>10</v>
      </c>
      <c r="C264" t="s">
        <v>756</v>
      </c>
      <c r="D264" s="64">
        <v>41893</v>
      </c>
      <c r="E264">
        <v>17</v>
      </c>
      <c r="F264">
        <v>167.28</v>
      </c>
    </row>
    <row r="265" spans="1:6" x14ac:dyDescent="0.25">
      <c r="A265">
        <v>4500370928</v>
      </c>
      <c r="B265">
        <v>10</v>
      </c>
      <c r="C265" t="s">
        <v>757</v>
      </c>
      <c r="D265" s="64">
        <v>41893</v>
      </c>
      <c r="E265">
        <v>32</v>
      </c>
      <c r="F265">
        <v>1</v>
      </c>
    </row>
    <row r="266" spans="1:6" x14ac:dyDescent="0.25">
      <c r="A266">
        <v>4500344532</v>
      </c>
      <c r="B266">
        <v>10</v>
      </c>
      <c r="C266" t="s">
        <v>758</v>
      </c>
      <c r="D266" s="64">
        <v>41787</v>
      </c>
      <c r="E266">
        <v>45</v>
      </c>
      <c r="F266">
        <v>5</v>
      </c>
    </row>
    <row r="267" spans="1:6" x14ac:dyDescent="0.25">
      <c r="A267">
        <v>4500333138</v>
      </c>
      <c r="B267">
        <v>10</v>
      </c>
      <c r="C267" t="s">
        <v>759</v>
      </c>
      <c r="D267" s="64">
        <v>41740</v>
      </c>
      <c r="E267">
        <v>229</v>
      </c>
      <c r="F267">
        <v>129</v>
      </c>
    </row>
  </sheetData>
  <dataConsolidate/>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Help"/>
  <dimension ref="A1:H33"/>
  <sheetViews>
    <sheetView workbookViewId="0">
      <selection activeCell="D5" sqref="D5"/>
    </sheetView>
  </sheetViews>
  <sheetFormatPr defaultRowHeight="15" x14ac:dyDescent="0.25"/>
  <cols>
    <col min="1" max="1" width="77.140625" style="9" customWidth="1"/>
    <col min="6" max="6" width="9.140625" style="3"/>
  </cols>
  <sheetData>
    <row r="1" spans="1:8" ht="18.75" x14ac:dyDescent="0.3">
      <c r="A1" s="19" t="s">
        <v>48</v>
      </c>
      <c r="B1" s="18"/>
      <c r="C1" s="18"/>
      <c r="D1" s="18"/>
      <c r="E1" s="18"/>
      <c r="F1" s="18"/>
      <c r="G1" s="18"/>
      <c r="H1" s="18"/>
    </row>
    <row r="2" spans="1:8" s="24" customFormat="1" x14ac:dyDescent="0.25">
      <c r="A2" s="21" t="s">
        <v>52</v>
      </c>
      <c r="B2" s="23"/>
      <c r="C2" s="23"/>
      <c r="D2" s="23"/>
      <c r="E2" s="23"/>
      <c r="F2" s="23"/>
      <c r="G2" s="23"/>
      <c r="H2" s="23"/>
    </row>
    <row r="3" spans="1:8" s="24" customFormat="1" x14ac:dyDescent="0.25">
      <c r="A3" s="20" t="s">
        <v>51</v>
      </c>
      <c r="B3" s="23"/>
      <c r="C3" s="23"/>
      <c r="D3" s="23"/>
      <c r="E3" s="23"/>
      <c r="F3" s="23"/>
      <c r="G3" s="23"/>
      <c r="H3" s="23"/>
    </row>
    <row r="4" spans="1:8" s="24" customFormat="1" x14ac:dyDescent="0.25">
      <c r="A4" s="22" t="s">
        <v>53</v>
      </c>
      <c r="B4" s="23"/>
      <c r="C4" s="23"/>
      <c r="D4" s="23"/>
      <c r="E4" s="23"/>
      <c r="F4" s="23"/>
      <c r="G4" s="23"/>
      <c r="H4" s="23"/>
    </row>
    <row r="5" spans="1:8" s="24" customFormat="1" ht="30" x14ac:dyDescent="0.25">
      <c r="A5" s="22" t="s">
        <v>68</v>
      </c>
      <c r="B5" s="23"/>
      <c r="C5" s="23"/>
      <c r="D5" s="23"/>
      <c r="E5" s="23"/>
      <c r="F5" s="23"/>
      <c r="G5" s="23"/>
      <c r="H5" s="23"/>
    </row>
    <row r="6" spans="1:8" s="24" customFormat="1" x14ac:dyDescent="0.25">
      <c r="A6" s="22" t="s">
        <v>69</v>
      </c>
      <c r="B6" s="23"/>
      <c r="C6" s="27"/>
      <c r="D6" s="23"/>
      <c r="E6" s="23"/>
      <c r="F6" s="23"/>
      <c r="G6" s="23"/>
      <c r="H6" s="23"/>
    </row>
    <row r="7" spans="1:8" s="24" customFormat="1" ht="30" x14ac:dyDescent="0.25">
      <c r="A7" s="22" t="s">
        <v>70</v>
      </c>
      <c r="B7" s="23"/>
      <c r="C7" s="23"/>
      <c r="D7" s="23"/>
      <c r="E7" s="23"/>
      <c r="F7" s="23"/>
      <c r="G7" s="23"/>
      <c r="H7" s="23"/>
    </row>
    <row r="8" spans="1:8" s="24" customFormat="1" x14ac:dyDescent="0.25">
      <c r="A8" s="22" t="s">
        <v>73</v>
      </c>
      <c r="B8" s="23"/>
      <c r="C8" s="23"/>
      <c r="D8" s="23"/>
      <c r="E8" s="23"/>
      <c r="F8" s="23"/>
      <c r="G8" s="23"/>
      <c r="H8" s="23"/>
    </row>
    <row r="9" spans="1:8" s="24" customFormat="1" ht="30" x14ac:dyDescent="0.25">
      <c r="A9" s="22" t="s">
        <v>74</v>
      </c>
      <c r="B9" s="23"/>
      <c r="C9" s="23"/>
      <c r="D9" s="23"/>
      <c r="E9" s="23"/>
      <c r="F9" s="23"/>
      <c r="G9" s="23"/>
      <c r="H9" s="23"/>
    </row>
    <row r="10" spans="1:8" s="24" customFormat="1" x14ac:dyDescent="0.25">
      <c r="A10" s="22" t="s">
        <v>75</v>
      </c>
      <c r="B10" s="23"/>
      <c r="C10" s="23"/>
      <c r="D10" s="23"/>
      <c r="E10" s="23"/>
      <c r="F10" s="23"/>
      <c r="G10" s="23"/>
      <c r="H10" s="23"/>
    </row>
    <row r="11" spans="1:8" s="24" customFormat="1" ht="45" x14ac:dyDescent="0.25">
      <c r="A11" s="22" t="s">
        <v>71</v>
      </c>
      <c r="B11" s="23"/>
      <c r="C11" s="23"/>
      <c r="D11" s="23"/>
      <c r="E11" s="23"/>
      <c r="F11" s="23"/>
      <c r="G11" s="23"/>
      <c r="H11" s="23"/>
    </row>
    <row r="12" spans="1:8" s="24" customFormat="1" ht="45" x14ac:dyDescent="0.25">
      <c r="A12" s="22" t="s">
        <v>72</v>
      </c>
      <c r="B12" s="23"/>
      <c r="C12" s="23"/>
      <c r="D12" s="23"/>
      <c r="E12" s="23"/>
      <c r="F12" s="23"/>
      <c r="G12" s="23"/>
      <c r="H12" s="23"/>
    </row>
    <row r="13" spans="1:8" s="24" customFormat="1" ht="60" x14ac:dyDescent="0.25">
      <c r="A13" s="22" t="s">
        <v>63</v>
      </c>
      <c r="B13" s="23"/>
      <c r="C13" s="23"/>
      <c r="D13" s="23"/>
      <c r="E13" s="23"/>
      <c r="F13" s="23"/>
      <c r="G13" s="23"/>
      <c r="H13" s="23"/>
    </row>
    <row r="14" spans="1:8" s="24" customFormat="1" x14ac:dyDescent="0.25">
      <c r="A14" s="22"/>
      <c r="B14" s="23"/>
      <c r="C14" s="23"/>
      <c r="D14" s="23"/>
      <c r="E14" s="23"/>
      <c r="F14" s="23"/>
      <c r="G14" s="23"/>
      <c r="H14" s="23"/>
    </row>
    <row r="15" spans="1:8" s="24" customFormat="1" x14ac:dyDescent="0.25">
      <c r="A15" s="20" t="s">
        <v>49</v>
      </c>
    </row>
    <row r="16" spans="1:8" s="24" customFormat="1" ht="30" x14ac:dyDescent="0.25">
      <c r="A16" s="22" t="s">
        <v>64</v>
      </c>
    </row>
    <row r="17" spans="1:8" s="24" customFormat="1" ht="90" x14ac:dyDescent="0.25">
      <c r="A17" s="22" t="s">
        <v>65</v>
      </c>
    </row>
    <row r="18" spans="1:8" s="24" customFormat="1" ht="30" x14ac:dyDescent="0.25">
      <c r="A18" s="22" t="s">
        <v>66</v>
      </c>
    </row>
    <row r="19" spans="1:8" s="24" customFormat="1" x14ac:dyDescent="0.25">
      <c r="A19" s="22"/>
      <c r="B19" s="23"/>
      <c r="C19" s="23"/>
      <c r="D19" s="23"/>
      <c r="E19" s="23"/>
      <c r="F19" s="23"/>
      <c r="G19" s="23"/>
      <c r="H19" s="23"/>
    </row>
    <row r="20" spans="1:8" s="24" customFormat="1" x14ac:dyDescent="0.25">
      <c r="A20" s="21" t="s">
        <v>50</v>
      </c>
    </row>
    <row r="21" spans="1:8" s="24" customFormat="1" x14ac:dyDescent="0.25">
      <c r="A21" s="22" t="s">
        <v>61</v>
      </c>
    </row>
    <row r="22" spans="1:8" s="24" customFormat="1" x14ac:dyDescent="0.25">
      <c r="A22" s="20" t="s">
        <v>58</v>
      </c>
    </row>
    <row r="23" spans="1:8" s="24" customFormat="1" ht="45" x14ac:dyDescent="0.25">
      <c r="A23" s="22" t="s">
        <v>54</v>
      </c>
    </row>
    <row r="24" spans="1:8" s="24" customFormat="1" x14ac:dyDescent="0.25">
      <c r="A24" s="20" t="s">
        <v>59</v>
      </c>
    </row>
    <row r="25" spans="1:8" s="24" customFormat="1" x14ac:dyDescent="0.25">
      <c r="A25" s="22" t="s">
        <v>55</v>
      </c>
    </row>
    <row r="26" spans="1:8" s="24" customFormat="1" ht="45" x14ac:dyDescent="0.25">
      <c r="A26" s="22" t="s">
        <v>56</v>
      </c>
    </row>
    <row r="27" spans="1:8" s="24" customFormat="1" ht="30" x14ac:dyDescent="0.25">
      <c r="A27" s="22" t="s">
        <v>57</v>
      </c>
    </row>
    <row r="28" spans="1:8" s="24" customFormat="1" x14ac:dyDescent="0.25">
      <c r="A28" s="20" t="s">
        <v>60</v>
      </c>
    </row>
    <row r="29" spans="1:8" s="24" customFormat="1" ht="45" x14ac:dyDescent="0.25">
      <c r="A29" s="22" t="s">
        <v>62</v>
      </c>
    </row>
    <row r="30" spans="1:8" s="24" customFormat="1" x14ac:dyDescent="0.25">
      <c r="A30" s="25" t="s">
        <v>67</v>
      </c>
    </row>
    <row r="31" spans="1:8" s="24" customFormat="1" x14ac:dyDescent="0.25">
      <c r="A31" s="25"/>
    </row>
    <row r="32" spans="1:8" s="24" customFormat="1" x14ac:dyDescent="0.25">
      <c r="A32" s="25"/>
    </row>
    <row r="33" spans="1:1" s="24" customFormat="1" x14ac:dyDescent="0.25">
      <c r="A33" s="26"/>
    </row>
  </sheetData>
  <pageMargins left="0.7" right="0.7" top="0.75" bottom="0.75" header="0.3" footer="0.3"/>
</worksheet>
</file>

<file path=customUI/_rels/customUI.xml.rels><?xml version="1.0" encoding="UTF-8" standalone="yes"?>
<Relationships xmlns="http://schemas.openxmlformats.org/package/2006/relationships"><Relationship Id="IH01_64x64_2" Type="http://schemas.openxmlformats.org/officeDocument/2006/relationships/image" Target="images/IH01_64x64_2.bmp"/></Relationships>
</file>

<file path=customUI/customUI.xml><?xml version="1.0" encoding="utf-8"?>
<customUI xmlns="http://schemas.microsoft.com/office/2006/01/customui">
  <ribbon>
    <tabs>
      <tab id="CustomTabLihir" label="Lihir" tag="TagCustomTabLihir">
        <group id="GroupAboutLGL" label="About" tag="TagGroupAboutLGL">
          <button id="btnAboutLGL" label="About Lihir Add-in" size="large" onAction="btnAboutLGL_Click" imageMso="HighImportance" tag="TagBtnAboutLGL"/>
        </group>
        <group id="GroupDBConfig" label="DB Config" tag="TagGroupDBConfig">
          <dropDown id="ddDBServer" label="Server" onAction="ddDBServer_Change" getSelectedItemID="getDBServerItemID" tag="TagDDDBServer">
            <item id="NMLLHRDEVDB01" label="NMLLHRDEVDB01"/>
            <item id="AdamMacbookAir" label="AdamMacbookAir"/>
            <item id="AdamDellE7250" label="AdamDellE7250"/>
          </dropDown>
          <button id="btnTestDBConn" label="Test DB Conn" size="normal" onAction="btnTestDBConn_Click" imageMso="FileManageMenu" tag="TagBtnTestDBConn"/>
        </group>
        <group id="GroupLihirStaff" label="People &amp;&amp; Safety" tag="TagGroupLihirStaff">
          <button id="btnBrowseOrgChart" label="Org. Chart" size="large" onAction="btnBrowseOrgChart_Click" imageMso="SmartArtOrganizationChartBoth" tag="TagBtnBrowseOrgChart"/>
        </group>
        <group id="GroupMaint" label="Maintenance" tag="TagGroupMaint">
          <button id="btnReviewWorkOrder" label="Review Order" size="large" onAction="btnReviewWorkOrder_Click" imageMso="AutoFormatWizard" tag="TagReviewWorkOrder"/>
          <button id="btnReviewNotification" label="Review Notification" size="large" onAction="btnReviewNotification_Click" imageMso="AccessListIssues" tag="TagBtnReviewNotification"/>
          <button id="btnFLOCBrowser" label="FLOC Browser" size="large" onAction="btnFLOCBrowser_Click" image="IH01_64x64_2" tag="TagBtnFLOCBrowser"/>
        </group>
        <group id="GroupParts" label="Parts" tag="TagGroupParts">
          <button id="btnPartsSearch" label="Parts Search" size="large" onAction="btnPartsSearch_Click" imageMso="LookUp" tag="TagPartsSearch"/>
          <button id="btnDisplayPartDetail" label="Part Detail" size="large" onAction="btnDisplayPartDetail_Click" imageMso="ControlsGallery" tag="TagDisplayPartDetail"/>
        </group>
        <group id="GroupFinance" label="Finance" tag="TagGroupFinance">
          <button id="btnLoadFinanceList" label="Export Lists" size="large" onAction="btnLoadFinanceList_Click" imageMso="ExportExcel" tag="TagLoadFinanceList"/>
          <button id="btnPOSearch" label="PO Search" size="large" onAction="btnPOSearch_Click" imageMso="LookUp" tag="TagPOSearch"/>
          <button id="btnReviewPurchOrder" label="Review PO" size="large" onAction="btnReviewPurchOrder_Click" imageMso="AutoFormatWizard" tag="TagReviewPurchOr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vt:i4>
      </vt:variant>
    </vt:vector>
  </HeadingPairs>
  <TitlesOfParts>
    <vt:vector size="33" baseType="lpstr">
      <vt:lpstr>Parameters</vt:lpstr>
      <vt:lpstr>Ver</vt:lpstr>
      <vt:lpstr>BugTesting</vt:lpstr>
      <vt:lpstr>EgPO's</vt:lpstr>
      <vt:lpstr>BugList</vt:lpstr>
      <vt:lpstr>ToDo</vt:lpstr>
      <vt:lpstr>FreeCanvas</vt:lpstr>
      <vt:lpstr>HelpPartsSearch</vt:lpstr>
      <vt:lpstr>AdamDellE7250_ConnString</vt:lpstr>
      <vt:lpstr>AdamMacbookAir_ConnString</vt:lpstr>
      <vt:lpstr>CCLASHist_ConnString</vt:lpstr>
      <vt:lpstr>DBCCLASServerDefaultID</vt:lpstr>
      <vt:lpstr>DBContractorsServerDefaultID</vt:lpstr>
      <vt:lpstr>DBFinanceServerDefaultID</vt:lpstr>
      <vt:lpstr>DBMaintServerDefaultID</vt:lpstr>
      <vt:lpstr>DBPartsServerDefaultID</vt:lpstr>
      <vt:lpstr>DBPeopleServerDefaultID</vt:lpstr>
      <vt:lpstr>DBPPMSServerDefaultID</vt:lpstr>
      <vt:lpstr>DBPUServerDefaultID</vt:lpstr>
      <vt:lpstr>GenLedgerListingCCFilter</vt:lpstr>
      <vt:lpstr>GenLedgerListingListItem</vt:lpstr>
      <vt:lpstr>Help_PartsSearch</vt:lpstr>
      <vt:lpstr>LastFLOCUpload</vt:lpstr>
      <vt:lpstr>LastPositionsUpload</vt:lpstr>
      <vt:lpstr>NMLBC0XV32_ConnString</vt:lpstr>
      <vt:lpstr>NMLLHRDEVDB01_ConnString</vt:lpstr>
      <vt:lpstr>PPMSPlant_ConnString</vt:lpstr>
      <vt:lpstr>PPMSPower_ConnString</vt:lpstr>
      <vt:lpstr>Ver!Ver_Description</vt:lpstr>
      <vt:lpstr>Ver!Ver_FileName</vt:lpstr>
      <vt:lpstr>Ver!Ver_Maj</vt:lpstr>
      <vt:lpstr>Ver!Ver_Min</vt:lpstr>
      <vt:lpstr>Ver!Version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dc:creator>
  <cp:lastModifiedBy>Adam Pemberton</cp:lastModifiedBy>
  <dcterms:created xsi:type="dcterms:W3CDTF">2014-12-01T02:16:58Z</dcterms:created>
  <dcterms:modified xsi:type="dcterms:W3CDTF">2016-11-22T01:59:52Z</dcterms:modified>
</cp:coreProperties>
</file>